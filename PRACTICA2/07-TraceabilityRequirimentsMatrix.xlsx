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tico.idi2.LOCAL\Desktop\StoreForward2026\Informes\"/>
    </mc:Choice>
  </mc:AlternateContent>
  <xr:revisionPtr revIDLastSave="0" documentId="13_ncr:1_{26D83E8E-F5AC-4313-AAB0-3E6BE3BC953C}" xr6:coauthVersionLast="47" xr6:coauthVersionMax="47" xr10:uidLastSave="{00000000-0000-0000-0000-000000000000}"/>
  <bookViews>
    <workbookView xWindow="-110" yWindow="-110" windowWidth="19420" windowHeight="10300" activeTab="1" xr2:uid="{92954132-65A6-428B-A2FA-A44D89BDE57A}"/>
  </bookViews>
  <sheets>
    <sheet name="UR" sheetId="1" r:id="rId1"/>
    <sheet name="SR" sheetId="3" r:id="rId2"/>
    <sheet name="TR" sheetId="4" r:id="rId3"/>
    <sheet name="MT" sheetId="2" r:id="rId4"/>
    <sheet name="RISK" sheetId="5" r:id="rId5"/>
    <sheet name="TES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5" l="1"/>
  <c r="C14" i="5"/>
  <c r="E14" i="5" s="1"/>
  <c r="G14" i="5" s="1"/>
  <c r="H14" i="5" s="1"/>
  <c r="F14" i="5"/>
  <c r="K20" i="5"/>
  <c r="K21" i="5"/>
  <c r="K22" i="5"/>
  <c r="L20" i="5"/>
  <c r="L21" i="5"/>
  <c r="L22" i="5"/>
  <c r="M20" i="5"/>
  <c r="O20" i="5" s="1"/>
  <c r="M21" i="5"/>
  <c r="O21" i="5" s="1"/>
  <c r="M22" i="5"/>
  <c r="O22" i="5" s="1"/>
  <c r="P20" i="5"/>
  <c r="P21" i="5"/>
  <c r="P22" i="5"/>
  <c r="Q21" i="5" l="1"/>
  <c r="R21" i="5" s="1"/>
  <c r="Q22" i="5"/>
  <c r="R22" i="5" s="1"/>
  <c r="Q20" i="5"/>
  <c r="R20" i="5" s="1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F2" i="5"/>
  <c r="F3" i="5"/>
  <c r="F4" i="5"/>
  <c r="F5" i="5"/>
  <c r="F6" i="5"/>
  <c r="F7" i="5"/>
  <c r="F8" i="5"/>
  <c r="F9" i="5"/>
  <c r="F10" i="5"/>
  <c r="F11" i="5"/>
  <c r="F12" i="5"/>
  <c r="F13" i="5"/>
  <c r="M2" i="5"/>
  <c r="O2" i="5" s="1"/>
  <c r="M3" i="5"/>
  <c r="O3" i="5" s="1"/>
  <c r="M4" i="5"/>
  <c r="O4" i="5" s="1"/>
  <c r="M5" i="5"/>
  <c r="O5" i="5" s="1"/>
  <c r="M6" i="5"/>
  <c r="O6" i="5" s="1"/>
  <c r="Q6" i="5" s="1"/>
  <c r="R6" i="5" s="1"/>
  <c r="M7" i="5"/>
  <c r="O7" i="5" s="1"/>
  <c r="Q7" i="5" s="1"/>
  <c r="R7" i="5" s="1"/>
  <c r="M8" i="5"/>
  <c r="O8" i="5" s="1"/>
  <c r="M9" i="5"/>
  <c r="O9" i="5" s="1"/>
  <c r="M10" i="5"/>
  <c r="O10" i="5" s="1"/>
  <c r="M11" i="5"/>
  <c r="O11" i="5" s="1"/>
  <c r="M12" i="5"/>
  <c r="O12" i="5" s="1"/>
  <c r="M13" i="5"/>
  <c r="O13" i="5" s="1"/>
  <c r="M14" i="5"/>
  <c r="O14" i="5" s="1"/>
  <c r="M15" i="5"/>
  <c r="O15" i="5" s="1"/>
  <c r="M16" i="5"/>
  <c r="O16" i="5" s="1"/>
  <c r="M17" i="5"/>
  <c r="O17" i="5" s="1"/>
  <c r="M18" i="5"/>
  <c r="O18" i="5" s="1"/>
  <c r="M19" i="5"/>
  <c r="O19" i="5" s="1"/>
  <c r="C2" i="5"/>
  <c r="E2" i="5" s="1"/>
  <c r="C3" i="5"/>
  <c r="E3" i="5" s="1"/>
  <c r="C4" i="5"/>
  <c r="E4" i="5" s="1"/>
  <c r="C5" i="5"/>
  <c r="E5" i="5" s="1"/>
  <c r="C6" i="5"/>
  <c r="E6" i="5" s="1"/>
  <c r="C7" i="5"/>
  <c r="E7" i="5" s="1"/>
  <c r="C8" i="5"/>
  <c r="E8" i="5" s="1"/>
  <c r="C9" i="5"/>
  <c r="E9" i="5" s="1"/>
  <c r="C10" i="5"/>
  <c r="E10" i="5" s="1"/>
  <c r="C11" i="5"/>
  <c r="E11" i="5" s="1"/>
  <c r="C12" i="5"/>
  <c r="E12" i="5" s="1"/>
  <c r="C13" i="5"/>
  <c r="E13" i="5" s="1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A2" i="5"/>
  <c r="A3" i="5"/>
  <c r="A4" i="5"/>
  <c r="A5" i="5"/>
  <c r="A6" i="5"/>
  <c r="A7" i="5"/>
  <c r="A8" i="5"/>
  <c r="A9" i="5"/>
  <c r="A10" i="5"/>
  <c r="A11" i="5"/>
  <c r="A12" i="5"/>
  <c r="A13" i="5"/>
  <c r="B13" i="5"/>
  <c r="B3" i="5"/>
  <c r="B4" i="5"/>
  <c r="B5" i="5"/>
  <c r="B6" i="5"/>
  <c r="B7" i="5"/>
  <c r="B8" i="5"/>
  <c r="B9" i="5"/>
  <c r="B10" i="5"/>
  <c r="B11" i="5"/>
  <c r="B12" i="5"/>
  <c r="B2" i="5"/>
  <c r="B1" i="2" a="1"/>
  <c r="Y18" i="2" a="1"/>
  <c r="Y18" i="2" s="1"/>
  <c r="X18" i="2" a="1"/>
  <c r="X18" i="2" s="1"/>
  <c r="Y2" i="2" a="1"/>
  <c r="Y2" i="2" s="1"/>
  <c r="X2" i="2" a="1"/>
  <c r="X2" i="2" s="1"/>
  <c r="A2" i="2" a="1"/>
  <c r="C14" i="2" l="1"/>
  <c r="K14" i="2"/>
  <c r="S14" i="2"/>
  <c r="D14" i="2"/>
  <c r="L14" i="2"/>
  <c r="T14" i="2"/>
  <c r="I14" i="2"/>
  <c r="E14" i="2"/>
  <c r="M14" i="2"/>
  <c r="U14" i="2"/>
  <c r="F14" i="2"/>
  <c r="N14" i="2"/>
  <c r="V14" i="2"/>
  <c r="O14" i="2"/>
  <c r="Q14" i="2"/>
  <c r="J14" i="2"/>
  <c r="G14" i="2"/>
  <c r="H14" i="2"/>
  <c r="P14" i="2"/>
  <c r="R14" i="2"/>
  <c r="A2" i="2"/>
  <c r="O3" i="2"/>
  <c r="Q4" i="2"/>
  <c r="S5" i="2"/>
  <c r="M6" i="2"/>
  <c r="U6" i="2"/>
  <c r="O7" i="2"/>
  <c r="Q8" i="2"/>
  <c r="S9" i="2"/>
  <c r="M10" i="2"/>
  <c r="U10" i="2"/>
  <c r="O11" i="2"/>
  <c r="Q12" i="2"/>
  <c r="S13" i="2"/>
  <c r="M4" i="2"/>
  <c r="U8" i="2"/>
  <c r="T10" i="2"/>
  <c r="P3" i="2"/>
  <c r="R4" i="2"/>
  <c r="T5" i="2"/>
  <c r="N6" i="2"/>
  <c r="V6" i="2"/>
  <c r="P7" i="2"/>
  <c r="R8" i="2"/>
  <c r="T9" i="2"/>
  <c r="N10" i="2"/>
  <c r="V10" i="2"/>
  <c r="P11" i="2"/>
  <c r="R12" i="2"/>
  <c r="T13" i="2"/>
  <c r="S3" i="2"/>
  <c r="U4" i="2"/>
  <c r="M12" i="2"/>
  <c r="V7" i="2"/>
  <c r="N11" i="2"/>
  <c r="Q3" i="2"/>
  <c r="S4" i="2"/>
  <c r="M5" i="2"/>
  <c r="U5" i="2"/>
  <c r="O6" i="2"/>
  <c r="Q7" i="2"/>
  <c r="S8" i="2"/>
  <c r="M9" i="2"/>
  <c r="U9" i="2"/>
  <c r="O10" i="2"/>
  <c r="Q11" i="2"/>
  <c r="S12" i="2"/>
  <c r="M13" i="2"/>
  <c r="U13" i="2"/>
  <c r="S7" i="2"/>
  <c r="O9" i="2"/>
  <c r="S11" i="2"/>
  <c r="O13" i="2"/>
  <c r="V11" i="2"/>
  <c r="R3" i="2"/>
  <c r="T4" i="2"/>
  <c r="N5" i="2"/>
  <c r="V5" i="2"/>
  <c r="P6" i="2"/>
  <c r="R7" i="2"/>
  <c r="T8" i="2"/>
  <c r="N9" i="2"/>
  <c r="V9" i="2"/>
  <c r="P10" i="2"/>
  <c r="R11" i="2"/>
  <c r="T12" i="2"/>
  <c r="N13" i="2"/>
  <c r="V13" i="2"/>
  <c r="O5" i="2"/>
  <c r="M8" i="2"/>
  <c r="Q10" i="2"/>
  <c r="U12" i="2"/>
  <c r="T6" i="2"/>
  <c r="Q6" i="2"/>
  <c r="T3" i="2"/>
  <c r="N4" i="2"/>
  <c r="V4" i="2"/>
  <c r="P5" i="2"/>
  <c r="R6" i="2"/>
  <c r="T7" i="2"/>
  <c r="N8" i="2"/>
  <c r="V8" i="2"/>
  <c r="P9" i="2"/>
  <c r="R10" i="2"/>
  <c r="T11" i="2"/>
  <c r="N12" i="2"/>
  <c r="V12" i="2"/>
  <c r="P13" i="2"/>
  <c r="N3" i="2"/>
  <c r="V3" i="2"/>
  <c r="P8" i="2"/>
  <c r="P12" i="2"/>
  <c r="M3" i="2"/>
  <c r="U3" i="2"/>
  <c r="O4" i="2"/>
  <c r="Q5" i="2"/>
  <c r="S6" i="2"/>
  <c r="M7" i="2"/>
  <c r="U7" i="2"/>
  <c r="O8" i="2"/>
  <c r="Q9" i="2"/>
  <c r="S10" i="2"/>
  <c r="M11" i="2"/>
  <c r="U11" i="2"/>
  <c r="O12" i="2"/>
  <c r="Q13" i="2"/>
  <c r="P4" i="2"/>
  <c r="R5" i="2"/>
  <c r="N7" i="2"/>
  <c r="R9" i="2"/>
  <c r="R13" i="2"/>
  <c r="G12" i="5"/>
  <c r="H12" i="5" s="1"/>
  <c r="G2" i="5"/>
  <c r="H2" i="5" s="1"/>
  <c r="Q15" i="5"/>
  <c r="R15" i="5" s="1"/>
  <c r="Q14" i="5"/>
  <c r="R14" i="5" s="1"/>
  <c r="Q11" i="5"/>
  <c r="R11" i="5" s="1"/>
  <c r="Q3" i="5"/>
  <c r="R3" i="5" s="1"/>
  <c r="G9" i="5"/>
  <c r="H9" i="5" s="1"/>
  <c r="Q19" i="5"/>
  <c r="R19" i="5" s="1"/>
  <c r="G8" i="5"/>
  <c r="H8" i="5" s="1"/>
  <c r="Q18" i="5"/>
  <c r="R18" i="5" s="1"/>
  <c r="Q10" i="5"/>
  <c r="R10" i="5" s="1"/>
  <c r="Q2" i="5"/>
  <c r="R2" i="5" s="1"/>
  <c r="G7" i="5"/>
  <c r="H7" i="5" s="1"/>
  <c r="Q17" i="5"/>
  <c r="R17" i="5" s="1"/>
  <c r="Q9" i="5"/>
  <c r="R9" i="5" s="1"/>
  <c r="Q8" i="5"/>
  <c r="R8" i="5" s="1"/>
  <c r="G13" i="5"/>
  <c r="H13" i="5" s="1"/>
  <c r="G5" i="5"/>
  <c r="H5" i="5" s="1"/>
  <c r="Q16" i="5"/>
  <c r="R16" i="5" s="1"/>
  <c r="G4" i="5"/>
  <c r="H4" i="5" s="1"/>
  <c r="G6" i="5"/>
  <c r="H6" i="5" s="1"/>
  <c r="G11" i="5"/>
  <c r="H11" i="5" s="1"/>
  <c r="G3" i="5"/>
  <c r="H3" i="5" s="1"/>
  <c r="Q13" i="5"/>
  <c r="R13" i="5" s="1"/>
  <c r="Q5" i="5"/>
  <c r="R5" i="5" s="1"/>
  <c r="G10" i="5"/>
  <c r="H10" i="5" s="1"/>
  <c r="Q12" i="5"/>
  <c r="R12" i="5" s="1"/>
  <c r="Q4" i="5"/>
  <c r="R4" i="5" s="1"/>
  <c r="B1" i="2"/>
  <c r="B4" i="2" s="1"/>
  <c r="I2" i="2"/>
  <c r="G4" i="2"/>
  <c r="D2" i="2"/>
  <c r="G3" i="2"/>
  <c r="J4" i="2"/>
  <c r="C7" i="2"/>
  <c r="D10" i="2"/>
  <c r="G11" i="2"/>
  <c r="J12" i="2"/>
  <c r="E2" i="2"/>
  <c r="H3" i="2"/>
  <c r="K4" i="2"/>
  <c r="L7" i="2"/>
  <c r="E10" i="2"/>
  <c r="H11" i="2"/>
  <c r="K12" i="2"/>
  <c r="F2" i="2"/>
  <c r="I3" i="2"/>
  <c r="D4" i="2"/>
  <c r="G5" i="2"/>
  <c r="J6" i="2"/>
  <c r="C9" i="2"/>
  <c r="F10" i="2"/>
  <c r="I11" i="2"/>
  <c r="G13" i="2"/>
  <c r="G2" i="2"/>
  <c r="J3" i="2"/>
  <c r="E4" i="2"/>
  <c r="H5" i="2"/>
  <c r="C6" i="2"/>
  <c r="K6" i="2"/>
  <c r="F7" i="2"/>
  <c r="I8" i="2"/>
  <c r="D9" i="2"/>
  <c r="L9" i="2"/>
  <c r="G10" i="2"/>
  <c r="J11" i="2"/>
  <c r="E12" i="2"/>
  <c r="H13" i="2"/>
  <c r="D3" i="2"/>
  <c r="L2" i="2"/>
  <c r="E5" i="2"/>
  <c r="H6" i="2"/>
  <c r="K7" i="2"/>
  <c r="F8" i="2"/>
  <c r="I9" i="2"/>
  <c r="L10" i="2"/>
  <c r="E13" i="2"/>
  <c r="C4" i="2"/>
  <c r="F5" i="2"/>
  <c r="I6" i="2"/>
  <c r="D7" i="2"/>
  <c r="G8" i="2"/>
  <c r="J9" i="2"/>
  <c r="C12" i="2"/>
  <c r="F13" i="2"/>
  <c r="L4" i="2"/>
  <c r="E7" i="2"/>
  <c r="H8" i="2"/>
  <c r="K9" i="2"/>
  <c r="D12" i="2"/>
  <c r="L12" i="2"/>
  <c r="H2" i="2"/>
  <c r="C3" i="2"/>
  <c r="K3" i="2"/>
  <c r="F4" i="2"/>
  <c r="I5" i="2"/>
  <c r="D6" i="2"/>
  <c r="L6" i="2"/>
  <c r="G7" i="2"/>
  <c r="J8" i="2"/>
  <c r="E9" i="2"/>
  <c r="H10" i="2"/>
  <c r="C11" i="2"/>
  <c r="K11" i="2"/>
  <c r="F12" i="2"/>
  <c r="I13" i="2"/>
  <c r="L3" i="2"/>
  <c r="J5" i="2"/>
  <c r="E6" i="2"/>
  <c r="H7" i="2"/>
  <c r="C8" i="2"/>
  <c r="K8" i="2"/>
  <c r="F9" i="2"/>
  <c r="I10" i="2"/>
  <c r="D11" i="2"/>
  <c r="L11" i="2"/>
  <c r="G12" i="2"/>
  <c r="J13" i="2"/>
  <c r="J2" i="2"/>
  <c r="E3" i="2"/>
  <c r="H4" i="2"/>
  <c r="C5" i="2"/>
  <c r="K5" i="2"/>
  <c r="F6" i="2"/>
  <c r="I7" i="2"/>
  <c r="D8" i="2"/>
  <c r="L8" i="2"/>
  <c r="G9" i="2"/>
  <c r="J10" i="2"/>
  <c r="E11" i="2"/>
  <c r="H12" i="2"/>
  <c r="C13" i="2"/>
  <c r="K13" i="2"/>
  <c r="C2" i="2"/>
  <c r="K2" i="2"/>
  <c r="F3" i="2"/>
  <c r="I4" i="2"/>
  <c r="D5" i="2"/>
  <c r="L5" i="2"/>
  <c r="G6" i="2"/>
  <c r="J7" i="2"/>
  <c r="E8" i="2"/>
  <c r="H9" i="2"/>
  <c r="C10" i="2"/>
  <c r="K10" i="2"/>
  <c r="F11" i="2"/>
  <c r="I12" i="2"/>
  <c r="D13" i="2"/>
  <c r="L13" i="2"/>
  <c r="B11" i="2"/>
  <c r="B14" i="2" l="1"/>
  <c r="W14" i="2" s="1"/>
  <c r="M2" i="2"/>
  <c r="U2" i="2"/>
  <c r="N2" i="2"/>
  <c r="V2" i="2"/>
  <c r="O2" i="2"/>
  <c r="P2" i="2"/>
  <c r="Q2" i="2"/>
  <c r="R2" i="2"/>
  <c r="S2" i="2"/>
  <c r="T2" i="2"/>
  <c r="B13" i="2"/>
  <c r="W13" i="2" s="1"/>
  <c r="B8" i="2"/>
  <c r="W8" i="2" s="1"/>
  <c r="B10" i="2"/>
  <c r="W10" i="2" s="1"/>
  <c r="B9" i="2"/>
  <c r="W9" i="2" s="1"/>
  <c r="B5" i="2"/>
  <c r="W5" i="2" s="1"/>
  <c r="B2" i="2"/>
  <c r="B6" i="2"/>
  <c r="W6" i="2" s="1"/>
  <c r="B3" i="2"/>
  <c r="W3" i="2" s="1"/>
  <c r="B12" i="2"/>
  <c r="W12" i="2" s="1"/>
  <c r="B7" i="2"/>
  <c r="W7" i="2" s="1"/>
  <c r="W11" i="2"/>
  <c r="W4" i="2"/>
  <c r="W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Practico IDI 2</author>
  </authors>
  <commentList>
    <comment ref="G2" authorId="0" shapeId="0" xr:uid="{644AD4DD-31FD-4401-810A-A46FE72042BF}">
      <text>
        <r>
          <rPr>
            <b/>
            <sz val="9"/>
            <color indexed="81"/>
            <rFont val="Tahoma"/>
            <family val="2"/>
          </rPr>
          <t>Practico IDI 2:</t>
        </r>
        <r>
          <rPr>
            <sz val="9"/>
            <color indexed="81"/>
            <rFont val="Tahoma"/>
            <family val="2"/>
          </rPr>
          <t xml:space="preserve">
Describe al sistema, elementos funcionales del sistema o tareas realizadas por el sistema.</t>
        </r>
      </text>
    </comment>
    <comment ref="G3" authorId="0" shapeId="0" xr:uid="{3B027D78-E76D-4839-83CB-164A57459F1F}">
      <text>
        <r>
          <rPr>
            <b/>
            <sz val="9"/>
            <color indexed="81"/>
            <rFont val="Tahoma"/>
            <family val="2"/>
          </rPr>
          <t>Practico IDI 2:</t>
        </r>
        <r>
          <rPr>
            <sz val="9"/>
            <color indexed="81"/>
            <rFont val="Tahoma"/>
            <family val="2"/>
          </rPr>
          <t xml:space="preserve">
Describe las cualidades del sistema. Por ejemplo, portabilidad, flexibilidad, fiabilidad, etc.</t>
        </r>
      </text>
    </comment>
    <comment ref="G4" authorId="0" shapeId="0" xr:uid="{1530D4C5-5F51-4219-AC50-7176711EACA7}">
      <text>
        <r>
          <rPr>
            <b/>
            <sz val="9"/>
            <color indexed="81"/>
            <rFont val="Tahoma"/>
            <family val="2"/>
          </rPr>
          <t>Practico IDI 2:</t>
        </r>
        <r>
          <rPr>
            <sz val="9"/>
            <color indexed="81"/>
            <rFont val="Tahoma"/>
            <family val="2"/>
          </rPr>
          <t xml:space="preserve">
Requerimientos impuestos por el cliente, como normativas, leyes, administrativas.</t>
        </r>
      </text>
    </comment>
    <comment ref="G5" authorId="0" shapeId="0" xr:uid="{B867B09E-EE7E-447A-BA55-FE21637E4F21}">
      <text>
        <r>
          <rPr>
            <b/>
            <sz val="9"/>
            <color indexed="81"/>
            <rFont val="Tahoma"/>
            <family val="2"/>
          </rPr>
          <t>Practico IDI 2:</t>
        </r>
        <r>
          <rPr>
            <sz val="9"/>
            <color indexed="81"/>
            <rFont val="Tahoma"/>
            <family val="2"/>
          </rPr>
          <t xml:space="preserve">
Definen como el sistema interactua con otros agentes, ya sean externos o internos.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<sst xmlns="http://schemas.openxmlformats.org/spreadsheetml/2006/main" count="490" uniqueCount="186">
  <si>
    <t>ID</t>
  </si>
  <si>
    <t>Tipo</t>
  </si>
  <si>
    <t>Estado</t>
  </si>
  <si>
    <t>Propuesto</t>
  </si>
  <si>
    <t>Funcional</t>
  </si>
  <si>
    <t>Pruebas</t>
  </si>
  <si>
    <t>UR-01</t>
  </si>
  <si>
    <t>UR-02</t>
  </si>
  <si>
    <t>UR-03</t>
  </si>
  <si>
    <t>UR-04</t>
  </si>
  <si>
    <t>UR-05</t>
  </si>
  <si>
    <t>UR-06</t>
  </si>
  <si>
    <t>UR-07</t>
  </si>
  <si>
    <t>UR-08</t>
  </si>
  <si>
    <t>UR-09</t>
  </si>
  <si>
    <t>UR-10</t>
  </si>
  <si>
    <t>UR-11</t>
  </si>
  <si>
    <t>UR-12</t>
  </si>
  <si>
    <t>Descripción del Requerimiento</t>
  </si>
  <si>
    <t>SR-01</t>
  </si>
  <si>
    <t>SR-02</t>
  </si>
  <si>
    <t>SR-03</t>
  </si>
  <si>
    <t>SR-04</t>
  </si>
  <si>
    <t>SR-05</t>
  </si>
  <si>
    <t>SR-06</t>
  </si>
  <si>
    <t>SR-07</t>
  </si>
  <si>
    <t>SR-08</t>
  </si>
  <si>
    <t>SR-09</t>
  </si>
  <si>
    <t>SR-10</t>
  </si>
  <si>
    <t>SR-13</t>
  </si>
  <si>
    <t>SR-14</t>
  </si>
  <si>
    <t>El sistema debe ser validado mediante pruebas funcionales en tierra y demostración en órbita.</t>
  </si>
  <si>
    <t>Tipos</t>
  </si>
  <si>
    <t>SR-15</t>
  </si>
  <si>
    <t>Cobertura</t>
  </si>
  <si>
    <t>Versión</t>
  </si>
  <si>
    <t>Prioridad</t>
  </si>
  <si>
    <t>Riesgo</t>
  </si>
  <si>
    <t>Dificultad</t>
  </si>
  <si>
    <t>Interfaz</t>
  </si>
  <si>
    <t>Proceso</t>
  </si>
  <si>
    <t>En desarrollo</t>
  </si>
  <si>
    <t>Terminado</t>
  </si>
  <si>
    <t>Baja</t>
  </si>
  <si>
    <t>Media</t>
  </si>
  <si>
    <t>Alta</t>
  </si>
  <si>
    <t>Riego</t>
  </si>
  <si>
    <t>Bajo</t>
  </si>
  <si>
    <t>Medio</t>
  </si>
  <si>
    <t>Alto</t>
  </si>
  <si>
    <t>ID SR</t>
  </si>
  <si>
    <t>ID UR</t>
  </si>
  <si>
    <t>ND</t>
  </si>
  <si>
    <t>El sistema deberá cubrir el territorio chileno continental, zonas extremas, territorio insular y territorio antártico.</t>
  </si>
  <si>
    <t>1.1</t>
  </si>
  <si>
    <t>El sistema deberá presentar una arquitectura modular, reutilizable y escalable.</t>
  </si>
  <si>
    <t>El sistema deberá ser de carácter experimental, con proyección a futuras aplicaciones comerciales.</t>
  </si>
  <si>
    <t>No funcional</t>
  </si>
  <si>
    <t>SR-16</t>
  </si>
  <si>
    <t>SR-17</t>
  </si>
  <si>
    <t>SR-18</t>
  </si>
  <si>
    <t>El sistema deberá tener dimensiones máximas 20 cm x 20 cm x 10 cm.</t>
  </si>
  <si>
    <t>El sistema deberá asegurar la integridad de los datos durante su recepción, almacenamiento y transmisión.</t>
  </si>
  <si>
    <t>1.2</t>
  </si>
  <si>
    <t>El sistema deberá ser compatible con el estándar internacional para recolección de datos ambientales por satélite utilizado por estaciones remotas autónomas de meteorología, sismología, vulcanología, etc.</t>
  </si>
  <si>
    <t>El sistema deberá proveer un servicio Store &amp; Forward satelital, almacenando datos durante su orbita para ser descargados en una estación terrestre.</t>
  </si>
  <si>
    <t>El sistema deberá permitir el uso de componentes COTS siempre que cumplan con: (a) funcionamiento en órbita probada, (b) tolerancia a la radiación verificada, o (c) mitigaciones de diseño que reduzcan el riesgo a un nivel aceptable para la misión.</t>
  </si>
  <si>
    <t>El sistema deberá mantener la asociación temporal de los datos almacenados.</t>
  </si>
  <si>
    <t>El sistema deberá permitir la recepción de paquetes de datos con una tamaño desde 32 a 256 bits, con una tasa de datos de 400 bps.</t>
  </si>
  <si>
    <t>1.3</t>
  </si>
  <si>
    <t>El sistema deberá consumir un máximo de 10 W en operación nominal y ser alimentado por el sistema de potencia del satélite de forma continua.</t>
  </si>
  <si>
    <t>El sistema deberá ser compatible con la estructura de datos enviado por las estaciones remotas , incluyendo modulación, canalización y protocolos, además de las variaciones en frecuencia por efecto Doppler.</t>
  </si>
  <si>
    <t>El sistema deberá soportar un enlace downlink desde el satélite hacia estaciones terrenas en territorio chileno.</t>
  </si>
  <si>
    <t>El sistema deberá soportar un enlace uplink desde estaciones remotas de monitoreo meteorológico, sismológico y/o vulcanológico hacia el satélite para la recolección de datos.</t>
  </si>
  <si>
    <t>El sistema deberá almacenar al menos 1.000.000 mensajes de durante un tiempo máximo de 15 órbitas y sin pérdidas hasta establecer contacto con una estación terrestre para la descarga.</t>
  </si>
  <si>
    <t>El sistema deberá permitir la descarga de al menos 10.000 mensajes almacenados hacia estaciones terrestres cuando exista conectividad disponible.</t>
  </si>
  <si>
    <t>El sistema deberá implementar mecanismos de integridad de datos en todas las etapas, con un error de bit menor a 0.01% y control de acceso a la descarga de datos por estaciones terrestres.</t>
  </si>
  <si>
    <t>Descripción</t>
  </si>
  <si>
    <t>Impacto</t>
  </si>
  <si>
    <t>Probabilidad (%)</t>
  </si>
  <si>
    <t>Nivel Impacto</t>
  </si>
  <si>
    <t>Nivel Probabilidad</t>
  </si>
  <si>
    <t>Valor Riesgo</t>
  </si>
  <si>
    <t>Clasificación</t>
  </si>
  <si>
    <t>Mitigación Propuesta</t>
  </si>
  <si>
    <t>Nivel</t>
  </si>
  <si>
    <t>Validación temprana con transmisores representativos y pruebas HIL</t>
  </si>
  <si>
    <t>Análisis de interfaces mecánicas/eléctricas y revisión PDR con proveedor de plataforma</t>
  </si>
  <si>
    <t>Revisión de estándar ARGOS y asesoría INVAP</t>
  </si>
  <si>
    <t>Selección COTS con validación espacial y mitigación por redundancia y watchdogs</t>
  </si>
  <si>
    <t>Pruebas de estrés, análisis térmico y pruebas de vida aceleradas</t>
  </si>
  <si>
    <t>Prototipo temprano del receptor y pruebas BER en laboratorio</t>
  </si>
  <si>
    <t>Verificación de front-end RF y filtros certificados</t>
  </si>
  <si>
    <t>Simulación Doppler y pruebas con generador de señales</t>
  </si>
  <si>
    <t>Diseño de memoria no volátil con margen ≥50%, simulación de carga orbital y pruebas de estrés en tierra</t>
  </si>
  <si>
    <t>Margen de memoria ≥50% y control de overflow</t>
  </si>
  <si>
    <t>Ensayos de descarga en peor escenario</t>
  </si>
  <si>
    <t>CRC, ACK/NACK y control de acceso</t>
  </si>
  <si>
    <t>Pruebas de compatibilidad CAN con OBC real</t>
  </si>
  <si>
    <t>Validación de lógica de estados y temporización</t>
  </si>
  <si>
    <t>Presupuesto de potencia con margen ≥25%</t>
  </si>
  <si>
    <t>Revisión de layout 3D y mockup mecánico</t>
  </si>
  <si>
    <t>Mediciones EMI/EMC y separación RF</t>
  </si>
  <si>
    <t>Simulaciones CAD para estimaciones de masas y revisión periodica de masa en el prototipo</t>
  </si>
  <si>
    <t>UR-13</t>
  </si>
  <si>
    <t>1.0</t>
  </si>
  <si>
    <t>El sistema deberá ser compatible con plataforma CubeSat 12U en órbita terrestre baja (LEO) sol síncrona a una altitud nominal aproximada de 650 km con una inclinación de 96°.</t>
  </si>
  <si>
    <t>El sistema deberá soportar los ambientes mecánicos de lanzamiento (cargas cuasiestáticas, vibración y shock) definidos por el lanzador y deployer seleccionados.</t>
  </si>
  <si>
    <t>SR-19</t>
  </si>
  <si>
    <t>SR-20</t>
  </si>
  <si>
    <t>El sistema deberá ser respetar la envolvente interna permita, los volúmen prohibídos y las restricciones sobre protrusiones, mecanismos móviles y bordes activos, asegurando la integración con la plataforma.</t>
  </si>
  <si>
    <t>El sistema deberá ser compatible con el sistema de separación del lanzador seleccionado EXOpod 12U, cumpliendo con las restricciones geométricas, mecánicas y de seguridad.</t>
  </si>
  <si>
    <t>SR-21</t>
  </si>
  <si>
    <t>1.4</t>
  </si>
  <si>
    <t>El sistema debe garantizar una vida útil operativa mínima de 5 años en el entorno de radiación LEO definido.</t>
  </si>
  <si>
    <t>El sistema deberá entregar los datos al subsistema de comunicaciones de la plataforma (Transponder Banda S) para el enlace downlink.</t>
  </si>
  <si>
    <t>El sistema deberá diseñarse de forma modular y permitir la actualización de firmware en vuelo (OTA).</t>
  </si>
  <si>
    <t>SR-22</t>
  </si>
  <si>
    <t>SR-23</t>
  </si>
  <si>
    <t>El sistema deberá implementar Watchdog Timers externos e independientes para reinicio ante eventos SEU/Latch-up.</t>
  </si>
  <si>
    <t>Protección electrónica contra Single Event Latch-up (SEL) mediante limitación de corriente activa.</t>
  </si>
  <si>
    <t>El sistema deberá cumplir con requisitos de EMI/EMC compatibles con operación satelital, evitando interferencias internas y externas durante todo el proceso de lanzamiento, despliege y operación.</t>
  </si>
  <si>
    <t>FUN-01</t>
  </si>
  <si>
    <t>FUN-02</t>
  </si>
  <si>
    <t>FUN-03</t>
  </si>
  <si>
    <t>FUN-04</t>
  </si>
  <si>
    <t>FUN-05</t>
  </si>
  <si>
    <t>FUN-06</t>
  </si>
  <si>
    <t>FUN-07</t>
  </si>
  <si>
    <t>Caracterización de Potencia</t>
  </si>
  <si>
    <t>Medición de consumo de corriente en todos los modos (Sleep, RX, Processing, TX Interface). Verificación de picos de arranque (Inrush Current).</t>
  </si>
  <si>
    <t>Sensibilidad y Selectividad RF</t>
  </si>
  <si>
    <t>Verificación del umbral de recepción (-115 dBm estimado) y ancho de banda en 401-403 MHz usando generador de señales.</t>
  </si>
  <si>
    <t>Simulación de Efecto Doppler</t>
  </si>
  <si>
    <t>Inyección de señales con desplazamiento de frecuencia variable (±10 kHz) para validar el algoritmo de corrección del receptor.</t>
  </si>
  <si>
    <t>Integridad de Datos (BER)</t>
  </si>
  <si>
    <t>Transmisión de 1 millón de paquetes y verificación de tasa de error de bit (BER) y corrección CRC tras almacenamiento.</t>
  </si>
  <si>
    <t>Interfaz CAN Bus &amp; CSP</t>
  </si>
  <si>
    <t>Validación de intercambio de comandos y telemetría con emulador de OBC (o OBC real). Verificación de manejo de errores de bus.</t>
  </si>
  <si>
    <t>Prueba de Watchdog y Failsafe</t>
  </si>
  <si>
    <t>Inyección de fallos de software y hardware (reset forzado) para medir tiempo de recuperación y estado seguro.</t>
  </si>
  <si>
    <t>Actualización de Firmware OTA</t>
  </si>
  <si>
    <t>Simulación de carga de nueva imagen de software a través del bus de datos y verificación de checksum e instalación.</t>
  </si>
  <si>
    <t>Nombre de la prueba</t>
  </si>
  <si>
    <t>THR-01</t>
  </si>
  <si>
    <t>THR-02</t>
  </si>
  <si>
    <t>THR-03</t>
  </si>
  <si>
    <t>Ciclado Térmico (Presión Ambiente)</t>
  </si>
  <si>
    <t>Vacío Térmico (TVAC) - Bake-out</t>
  </si>
  <si>
    <t>Balance Térmico en Vacío</t>
  </si>
  <si>
    <t>Ciclos de temperatura entre -30°C y +70°C en cámara climática para detectar fallas de soldadura o componentes infantiles (Stress screening).</t>
  </si>
  <si>
    <t>Exposición a alto vacío (&lt;10⁻⁵ Torr) y temperatura elevada (+60°C) para desgasificación (Outgassing) y limpieza.</t>
  </si>
  <si>
    <t>Validación del modelo térmico: verificación de temperaturas de operación en vacío (solo conducción) en casos fríos y calientes.</t>
  </si>
  <si>
    <t>MEC-01</t>
  </si>
  <si>
    <t>MEC-02</t>
  </si>
  <si>
    <t>MEC-03</t>
  </si>
  <si>
    <t>MEC-04</t>
  </si>
  <si>
    <t>MEC-05</t>
  </si>
  <si>
    <t>Propiedades de Masa</t>
  </si>
  <si>
    <t>Medición precisa de masa total (&lt; 3kg) y determinación del Centro de Gravedad (CoG) y Momentos de Inercia (MoI).</t>
  </si>
  <si>
    <t>Vibración Aleatoria (Random Vib)</t>
  </si>
  <si>
    <t>Ensayo en shaker electrodinámico según perfiles de lanzamiento (ej. NASA GEVS o perfil Falcon 9). Verificación de integridad estructural.</t>
  </si>
  <si>
    <t>Vibración Sinusoidal (Sine Sweep)</t>
  </si>
  <si>
    <t>Barrido de frecuencias para identificar resonancias naturales (Eigenfrequencies) y asegurar que &gt; 100 Hz (típico CubeSat).</t>
  </si>
  <si>
    <t>Ensayo de Choque (Shock)</t>
  </si>
  <si>
    <t>Simulación de cargas de choque por separación (si aplica por requerimiento de lanzador) o despliegue de antenas.</t>
  </si>
  <si>
    <t>Despliegue de Antenas</t>
  </si>
  <si>
    <t>Verificación funcional del mecanismo de despliegue de antenas UHF (Burn-wire / Resorte) en condiciones de gravedad compensada.</t>
  </si>
  <si>
    <t>Emisiones Conducidas (CE)</t>
  </si>
  <si>
    <t>Medición de ruido inyectado por la carga útil hacia las líneas de potencia del bus (Power Bus Noise).</t>
  </si>
  <si>
    <t>Susceptibilidad Radiada (RS)</t>
  </si>
  <si>
    <t>Verificación de operación nominal ante campos externos (ej. Radares de lanzamiento o transmisor Banda S propio).</t>
  </si>
  <si>
    <t>Emisiones Radiadas (RE)</t>
  </si>
  <si>
    <t>Medición de ruido RF generado por la electrónica digital (relojes, CPU) para asegurar "silencio" en banda GPS y Banda S receptor.</t>
  </si>
  <si>
    <t>Auto-Compatibilidad</t>
  </si>
  <si>
    <t>Verificación de que la transmisión UHF propia no resetea la CPU ni afecta sensores cercanos.</t>
  </si>
  <si>
    <t>EMC-01</t>
  </si>
  <si>
    <t>EMC-02</t>
  </si>
  <si>
    <t>EMC-03</t>
  </si>
  <si>
    <t>EMC-04</t>
  </si>
  <si>
    <t xml:space="preserve"> El sistema deberá tener una masa máxima de 3.0 kg y mantener su Centro de Gravedad (CoG) a ±2 mm del centro geométrico, el cual coincide con el eje logitudinal geométrico del satélite.</t>
  </si>
  <si>
    <t>El sistema deberá certificarse mediante prueba térmo-vacio, mecánicas, EMI y eléctricas en las instalaciones de Centro Espacial Nacional y ser validado en órbita.</t>
  </si>
  <si>
    <t>Los componentes y materiales no metálicos que uitlice el sistema deberán cumplir con un TML &lt; 1.0% y un CVCM &lt;0.1%</t>
  </si>
  <si>
    <t>El sistema deberá comunicarse con el OBC del CubeSat 12U mediante el bus definido por la plataforma (CANBUS), gestionando una tasa de transferencia de datos compatible y reportando periódicamente su estado operativo.</t>
  </si>
  <si>
    <t>El sistema deberá operar bajo el control del OBC, escuchando activamente en las zonas definidas por la misión y transmitiendo únicamente cuando sea ordenado.</t>
  </si>
  <si>
    <t>El sistema deberá operar como receptor en el rango de frecuencias 401 - 403 MHz utilizado por estaciones remotas, con una polarización circular derecha y un ancho de haz de 130° HPBW.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</si>
</sst>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textRotation="90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textRotation="90"/>
    </xf>
    <xf numFmtId="0" fontId="0" fillId="3" borderId="1" xfId="0" applyFill="1" applyBorder="1"/>
    <xf numFmtId="0" fontId="0" fillId="0" borderId="1" xfId="0" applyBorder="1" applyAlignment="1">
      <alignment textRotation="1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55">
    <dxf>
      <fill>
        <patternFill>
          <bgColor rgb="FFFF5050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b val="0"/>
      </font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FF5050"/>
      <color rgb="FFFFEB84"/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C98EF0-3858-453F-9F9A-A07F55C32A1E}" name="Tabla_UR" displayName="Tabla_UR" ref="A1:H14" totalsRowShown="0" headerRowDxfId="54" dataDxfId="53">
  <autoFilter ref="A1:H14" xr:uid="{97C98EF0-3858-453F-9F9A-A07F55C32A1E}"/>
  <tableColumns count="8">
    <tableColumn id="1" xr3:uid="{9DA971DD-1D5B-41CD-BAEB-EAF0257EAB52}" name="ID" dataDxfId="52"/>
    <tableColumn id="4" xr3:uid="{29E9DD8F-0B45-4DE5-9BDA-D000917385AF}" name="Versión" dataDxfId="51"/>
    <tableColumn id="2" xr3:uid="{BB9FC176-474D-4CBC-8CE6-6EDA5F9BEC73}" name="Descripción del Requerimiento" dataDxfId="50"/>
    <tableColumn id="9" xr3:uid="{1B1AB0D7-27AC-4E41-94F8-7821BC3B25CD}" name="Prioridad" dataDxfId="49"/>
    <tableColumn id="10" xr3:uid="{E891BF7F-98BB-4AFD-A02F-D80C0111FA23}" name="Riesgo" dataDxfId="48"/>
    <tableColumn id="11" xr3:uid="{F520EB3B-41AE-4347-9348-F2F6CC4EA145}" name="Dificultad" dataDxfId="47"/>
    <tableColumn id="3" xr3:uid="{733FEF08-30C9-4542-95A8-75CCE4D3A7D0}" name="Tipo" dataDxfId="46"/>
    <tableColumn id="8" xr3:uid="{8963FEAC-3B2C-4B07-8268-11B965A523CD}" name="Estado" dataDxfId="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2F8188-A8F4-4D32-94CE-EC6F3DD4A9CB}" name="Tabla_SR" displayName="Tabla_SR" ref="A1:H22" totalsRowShown="0" headerRowDxfId="44" dataDxfId="43">
  <autoFilter ref="A1:H22" xr:uid="{97C98EF0-3858-453F-9F9A-A07F55C32A1E}"/>
  <tableColumns count="8">
    <tableColumn id="1" xr3:uid="{9B26BE5A-394B-4698-999A-AFBA858BF34D}" name="ID" dataDxfId="42"/>
    <tableColumn id="7" xr3:uid="{5F63A228-01E6-4804-A201-3DB83A90BD6E}" name="Versión" dataDxfId="41"/>
    <tableColumn id="2" xr3:uid="{1F8C1EF1-FA6C-4618-937F-3C62E2CB8B6D}" name="Descripción del Requerimiento" dataDxfId="40"/>
    <tableColumn id="4" xr3:uid="{226C60AE-1C84-4BA7-BD7A-407CAD2246AC}" name="Prioridad" dataDxfId="39"/>
    <tableColumn id="5" xr3:uid="{4F854367-B147-489E-AD51-51B329F2CB1A}" name="Riesgo" dataDxfId="38"/>
    <tableColumn id="6" xr3:uid="{8C446348-9C98-4C71-92B1-4497E203D2ED}" name="Dificultad" dataDxfId="37"/>
    <tableColumn id="3" xr3:uid="{A1EF9B25-D677-45EE-A5DE-C49B0ED6F089}" name="Tipo" dataDxfId="36"/>
    <tableColumn id="8" xr3:uid="{E90B6E66-C38F-469F-BCBA-09A8604000EB}" name="Estado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DE19A9-1C1B-4D33-9D96-CE5D2E77C48F}" name="Tabla_TUS" displayName="Tabla_TUS" ref="A1:B37" totalsRowShown="0">
  <autoFilter ref="A1:B37" xr:uid="{BDDE19A9-1C1B-4D33-9D96-CE5D2E77C48F}"/>
  <sortState xmlns:xlrd2="http://schemas.microsoft.com/office/spreadsheetml/2017/richdata2" ref="A2:B37">
    <sortCondition ref="A1:A37"/>
  </sortState>
  <tableColumns count="2">
    <tableColumn id="1" xr3:uid="{E5E494CE-E699-47F2-A47D-8D4F736A86A2}" name="ID UR"/>
    <tableColumn id="2" xr3:uid="{32387B3C-59B5-4688-B8E2-C15526A3EB89}" name="ID S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9830FC-1E1B-4EF8-80B8-4A61EC25503B}" name="Tabla4" displayName="Tabla4" ref="D1:H5" totalsRowShown="0">
  <autoFilter ref="D1:H5" xr:uid="{C49830FC-1E1B-4EF8-80B8-4A61EC25503B}"/>
  <tableColumns count="5">
    <tableColumn id="1" xr3:uid="{902D4CA5-A49E-4CC6-8A49-E24CC780C546}" name="Prioridad"/>
    <tableColumn id="2" xr3:uid="{C43AA336-E912-4C7B-A985-CBD983276B76}" name="Riego"/>
    <tableColumn id="3" xr3:uid="{29CB713A-0526-48DC-815A-BADF9EAAD8AC}" name="Dificultad"/>
    <tableColumn id="4" xr3:uid="{2153FF5F-DBCC-4944-A301-7F84CC3F4165}" name="Tipos"/>
    <tableColumn id="5" xr3:uid="{E912EE23-FE93-4633-9F46-009A03FED966}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08AEBF-4552-4DC4-967C-40BABECCDCC5}" name="Tabla5" displayName="Tabla5" ref="D7:E11" totalsRowShown="0" headerRowDxfId="34" dataDxfId="33">
  <autoFilter ref="D7:E11" xr:uid="{D308AEBF-4552-4DC4-967C-40BABECCDCC5}"/>
  <tableColumns count="2">
    <tableColumn id="1" xr3:uid="{40B897E4-57F5-4B09-863A-4897AFE007B5}" name="Impacto" dataDxfId="32"/>
    <tableColumn id="2" xr3:uid="{39C430DC-9559-4C0C-A84D-C5FD3C410A00}" name="Nivel" dataDxfId="3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20ADA0D-3275-43E4-8252-1F670B4102CC}" name="Tabla7" displayName="Tabla7" ref="A1:I14" totalsRowShown="0">
  <autoFilter ref="A1:I14" xr:uid="{120ADA0D-3275-43E4-8252-1F670B4102CC}"/>
  <tableColumns count="9">
    <tableColumn id="1" xr3:uid="{7D510F6B-512C-4A73-846B-D7D07652AB1B}" name="ID" dataDxfId="30"/>
    <tableColumn id="2" xr3:uid="{C5383B7F-00EA-452F-B484-336F76C58AD0}" name="Descripción" dataDxfId="29"/>
    <tableColumn id="3" xr3:uid="{8A1CFC03-EC93-4EE4-B834-E0FA18C20001}" name="Impacto" dataDxfId="28">
      <calculatedColumnFormula>Tabla_UR[[#This Row],[Riesgo]]</calculatedColumnFormula>
    </tableColumn>
    <tableColumn id="4" xr3:uid="{642D3AD1-8EF8-4979-9ACD-6661AD996053}" name="Probabilidad (%)" dataDxfId="27"/>
    <tableColumn id="5" xr3:uid="{122D7850-132C-45FC-B89C-DFFEC94A9B5D}" name="Nivel Impacto" dataDxfId="26">
      <calculatedColumnFormula>_xlfn.XLOOKUP(C2, Tabla5[Impacto], Tabla5[Nivel])</calculatedColumnFormula>
    </tableColumn>
    <tableColumn id="6" xr3:uid="{949B633C-3849-4C81-9F70-F692F5ECBB93}" name="Nivel Probabilidad" dataDxfId="25">
      <calculatedColumnFormula>IF(D2&lt;=10,1,
 IF(D2&lt;=30,2,3))</calculatedColumnFormula>
    </tableColumn>
    <tableColumn id="7" xr3:uid="{BBB69162-D45C-423F-9CC3-84BACEF30C8C}" name="Valor Riesgo" dataDxfId="24">
      <calculatedColumnFormula>Tabla7[[#This Row],[Nivel Impacto]]*Tabla7[[#This Row],[Nivel Probabilidad]]</calculatedColumnFormula>
    </tableColumn>
    <tableColumn id="8" xr3:uid="{1E1422B9-69B7-40B2-8E34-CF26BA347C91}" name="Clasificación" dataDxfId="23">
      <calculatedColumnFormula>IF(G2&gt;=6,"Alto",
 IF(G2&gt;=3,"Medio","Bajo"))</calculatedColumnFormula>
    </tableColumn>
    <tableColumn id="9" xr3:uid="{A754C564-2F32-4990-BD69-62139F7B855E}" name="Mitigación Propuesta" dataDxfId="2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63E9218-08C7-4660-8ED7-04AF0BFEECC1}" name="Tabla710" displayName="Tabla710" ref="K1:S22" totalsRowShown="0" dataDxfId="21">
  <autoFilter ref="K1:S22" xr:uid="{E63E9218-08C7-4660-8ED7-04AF0BFEECC1}"/>
  <tableColumns count="9">
    <tableColumn id="1" xr3:uid="{5E23B6B7-FCB9-4127-8258-C9E9DEB6FD90}" name="ID" dataDxfId="20">
      <calculatedColumnFormula>Tabla_SR[[#This Row],[ID]]</calculatedColumnFormula>
    </tableColumn>
    <tableColumn id="2" xr3:uid="{9A821FBD-3515-4060-A012-01FA3BED8022}" name="Descripción" dataDxfId="19">
      <calculatedColumnFormula>Tabla_SR[[#This Row],[Descripción del Requerimiento]]</calculatedColumnFormula>
    </tableColumn>
    <tableColumn id="3" xr3:uid="{CD99BFA1-5755-479F-999C-3C6F2284CFA1}" name="Impacto" dataDxfId="18">
      <calculatedColumnFormula>Tabla_SR[[#This Row],[Riesgo]]</calculatedColumnFormula>
    </tableColumn>
    <tableColumn id="4" xr3:uid="{345B8525-3245-4DD4-9006-A5534A66E5D5}" name="Probabilidad (%)" dataDxfId="17"/>
    <tableColumn id="5" xr3:uid="{7BF28AE1-AE70-4EAF-9F31-171C7A19FDB3}" name="Nivel Impacto" dataDxfId="16">
      <calculatedColumnFormula>_xlfn.XLOOKUP(M2, Tabla5[Impacto], Tabla5[Nivel])</calculatedColumnFormula>
    </tableColumn>
    <tableColumn id="6" xr3:uid="{12206994-5742-4105-B783-009A28AF9AE8}" name="Nivel Probabilidad" dataDxfId="15">
      <calculatedColumnFormula>IF(N2&lt;=10,1,
 IF(N2&lt;=30,2,3))</calculatedColumnFormula>
    </tableColumn>
    <tableColumn id="7" xr3:uid="{18463773-7836-4838-9954-F13888E372B8}" name="Valor Riesgo" dataDxfId="14">
      <calculatedColumnFormula>Tabla710[[#This Row],[Nivel Impacto]]*Tabla710[[#This Row],[Nivel Probabilidad]]</calculatedColumnFormula>
    </tableColumn>
    <tableColumn id="8" xr3:uid="{C21EA9E6-E0AE-4D2B-A6A3-927560447763}" name="Clasificación" dataDxfId="13">
      <calculatedColumnFormula>IF(Q2&gt;=6,"Alto",
 IF(Q2&gt;=3,"Medio","Bajo"))</calculatedColumnFormula>
    </tableColumn>
    <tableColumn id="9" xr3:uid="{F52067C9-D61B-4E18-9353-CE35B7B79572}" name="Mitigación Propuesta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860B86-CAB3-43D2-9CD6-244016862E54}" name="Tabla_UR7" displayName="Tabla_UR7" ref="A1:D20" totalsRowShown="0" headerRowDxfId="11" dataDxfId="10">
  <autoFilter ref="A1:D20" xr:uid="{0A860B86-CAB3-43D2-9CD6-244016862E54}"/>
  <tableColumns count="4">
    <tableColumn id="1" xr3:uid="{BD984139-0037-47A2-ADFA-B218F56F5D2E}" name="ID" dataDxfId="9"/>
    <tableColumn id="4" xr3:uid="{E7D4C663-64DC-48C1-8416-BCF600B45B4F}" name="Versión" dataDxfId="8"/>
    <tableColumn id="5" xr3:uid="{4583E05D-357C-428B-A98B-28DA20A1B409}" name="Nombre de la prueba" dataDxfId="7"/>
    <tableColumn id="2" xr3:uid="{05CDFD34-1FE6-4194-A609-643DF0AAA688}" name="Descripción del Requerimient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20D4-0368-4735-8685-CAA70A5723E4}">
  <dimension ref="A1:H35"/>
  <sheetViews>
    <sheetView zoomScaleNormal="100" workbookViewId="0">
      <selection activeCell="C14" sqref="C14"/>
    </sheetView>
  </sheetViews>
  <sheetFormatPr baseColWidth="10" defaultRowHeight="14.5" x14ac:dyDescent="0.35"/>
  <cols>
    <col min="1" max="1" width="7.1796875" bestFit="1" customWidth="1"/>
    <col min="2" max="2" width="11.7265625" bestFit="1" customWidth="1"/>
    <col min="3" max="3" width="53.1796875" bestFit="1" customWidth="1"/>
    <col min="4" max="4" width="13.08984375" bestFit="1" customWidth="1"/>
    <col min="5" max="5" width="10.7265625" bestFit="1" customWidth="1"/>
    <col min="6" max="6" width="13.36328125" bestFit="1" customWidth="1"/>
    <col min="7" max="7" width="9" customWidth="1"/>
    <col min="8" max="8" width="11.08984375" bestFit="1" customWidth="1"/>
  </cols>
  <sheetData>
    <row r="1" spans="1:8" x14ac:dyDescent="0.35">
      <c r="A1" s="1" t="s">
        <v>0</v>
      </c>
      <c r="B1" s="1" t="s">
        <v>35</v>
      </c>
      <c r="C1" s="1" t="s">
        <v>18</v>
      </c>
      <c r="D1" s="1" t="s">
        <v>36</v>
      </c>
      <c r="E1" s="1" t="s">
        <v>37</v>
      </c>
      <c r="F1" s="1" t="s">
        <v>38</v>
      </c>
      <c r="G1" s="1" t="s">
        <v>1</v>
      </c>
      <c r="H1" s="1" t="s">
        <v>2</v>
      </c>
    </row>
    <row r="2" spans="1:8" ht="43.5" x14ac:dyDescent="0.35">
      <c r="A2" s="2" t="s">
        <v>6</v>
      </c>
      <c r="B2" s="8" t="s">
        <v>54</v>
      </c>
      <c r="C2" s="2" t="s">
        <v>65</v>
      </c>
      <c r="D2" s="8" t="s">
        <v>45</v>
      </c>
      <c r="E2" s="8" t="s">
        <v>49</v>
      </c>
      <c r="F2" s="8" t="s">
        <v>44</v>
      </c>
      <c r="G2" s="8" t="s">
        <v>4</v>
      </c>
      <c r="H2" s="8" t="s">
        <v>3</v>
      </c>
    </row>
    <row r="3" spans="1:8" ht="29" x14ac:dyDescent="0.35">
      <c r="A3" s="2" t="s">
        <v>7</v>
      </c>
      <c r="B3" s="8" t="s">
        <v>63</v>
      </c>
      <c r="C3" s="2" t="s">
        <v>72</v>
      </c>
      <c r="D3" s="8" t="s">
        <v>45</v>
      </c>
      <c r="E3" s="8" t="s">
        <v>48</v>
      </c>
      <c r="F3" s="8" t="s">
        <v>43</v>
      </c>
      <c r="G3" s="8" t="s">
        <v>4</v>
      </c>
      <c r="H3" s="8" t="s">
        <v>3</v>
      </c>
    </row>
    <row r="4" spans="1:8" ht="43.5" x14ac:dyDescent="0.35">
      <c r="A4" s="2" t="s">
        <v>8</v>
      </c>
      <c r="B4" s="8" t="s">
        <v>63</v>
      </c>
      <c r="C4" s="2" t="s">
        <v>73</v>
      </c>
      <c r="D4" s="8" t="s">
        <v>45</v>
      </c>
      <c r="E4" s="8" t="s">
        <v>48</v>
      </c>
      <c r="F4" s="8" t="s">
        <v>43</v>
      </c>
      <c r="G4" s="8" t="s">
        <v>4</v>
      </c>
      <c r="H4" s="8" t="s">
        <v>3</v>
      </c>
    </row>
    <row r="5" spans="1:8" ht="58" x14ac:dyDescent="0.35">
      <c r="A5" s="2" t="s">
        <v>9</v>
      </c>
      <c r="B5" s="8" t="s">
        <v>63</v>
      </c>
      <c r="C5" s="2" t="s">
        <v>64</v>
      </c>
      <c r="D5" s="8" t="s">
        <v>45</v>
      </c>
      <c r="E5" s="8" t="s">
        <v>48</v>
      </c>
      <c r="F5" s="8" t="s">
        <v>44</v>
      </c>
      <c r="G5" s="8" t="s">
        <v>40</v>
      </c>
      <c r="H5" s="8" t="s">
        <v>3</v>
      </c>
    </row>
    <row r="6" spans="1:8" ht="29" x14ac:dyDescent="0.35">
      <c r="A6" s="2" t="s">
        <v>10</v>
      </c>
      <c r="B6" s="8" t="s">
        <v>54</v>
      </c>
      <c r="C6" s="2" t="s">
        <v>62</v>
      </c>
      <c r="D6" s="8" t="s">
        <v>44</v>
      </c>
      <c r="E6" s="8" t="s">
        <v>47</v>
      </c>
      <c r="F6" s="8" t="s">
        <v>43</v>
      </c>
      <c r="G6" s="8" t="s">
        <v>4</v>
      </c>
      <c r="H6" s="8" t="s">
        <v>3</v>
      </c>
    </row>
    <row r="7" spans="1:8" ht="43.5" x14ac:dyDescent="0.35">
      <c r="A7" s="2" t="s">
        <v>11</v>
      </c>
      <c r="B7" s="8" t="s">
        <v>63</v>
      </c>
      <c r="C7" s="2" t="s">
        <v>106</v>
      </c>
      <c r="D7" s="8" t="s">
        <v>45</v>
      </c>
      <c r="E7" s="8" t="s">
        <v>49</v>
      </c>
      <c r="F7" s="8" t="s">
        <v>43</v>
      </c>
      <c r="G7" s="8" t="s">
        <v>57</v>
      </c>
      <c r="H7" s="8" t="s">
        <v>3</v>
      </c>
    </row>
    <row r="8" spans="1:8" ht="29" x14ac:dyDescent="0.35">
      <c r="A8" s="2" t="s">
        <v>12</v>
      </c>
      <c r="B8" s="8" t="s">
        <v>54</v>
      </c>
      <c r="C8" s="2" t="s">
        <v>53</v>
      </c>
      <c r="D8" s="8" t="s">
        <v>44</v>
      </c>
      <c r="E8" s="8" t="s">
        <v>47</v>
      </c>
      <c r="F8" s="8" t="s">
        <v>43</v>
      </c>
      <c r="G8" s="8" t="s">
        <v>4</v>
      </c>
      <c r="H8" s="8" t="s">
        <v>3</v>
      </c>
    </row>
    <row r="9" spans="1:8" ht="72.5" x14ac:dyDescent="0.35">
      <c r="A9" s="2" t="s">
        <v>13</v>
      </c>
      <c r="B9" s="8" t="s">
        <v>63</v>
      </c>
      <c r="C9" s="2" t="s">
        <v>66</v>
      </c>
      <c r="D9" s="8" t="s">
        <v>45</v>
      </c>
      <c r="E9" s="8" t="s">
        <v>49</v>
      </c>
      <c r="F9" s="8" t="s">
        <v>44</v>
      </c>
      <c r="G9" s="8" t="s">
        <v>57</v>
      </c>
      <c r="H9" s="8" t="s">
        <v>3</v>
      </c>
    </row>
    <row r="10" spans="1:8" ht="29" x14ac:dyDescent="0.35">
      <c r="A10" s="2" t="s">
        <v>14</v>
      </c>
      <c r="B10" s="8" t="s">
        <v>54</v>
      </c>
      <c r="C10" s="2" t="s">
        <v>56</v>
      </c>
      <c r="D10" s="8" t="s">
        <v>43</v>
      </c>
      <c r="E10" s="8" t="s">
        <v>47</v>
      </c>
      <c r="F10" s="8" t="s">
        <v>43</v>
      </c>
      <c r="G10" s="8" t="s">
        <v>57</v>
      </c>
      <c r="H10" s="8" t="s">
        <v>3</v>
      </c>
    </row>
    <row r="11" spans="1:8" ht="29" x14ac:dyDescent="0.35">
      <c r="A11" s="2" t="s">
        <v>15</v>
      </c>
      <c r="B11" s="8" t="s">
        <v>54</v>
      </c>
      <c r="C11" s="2" t="s">
        <v>55</v>
      </c>
      <c r="D11" s="8" t="s">
        <v>43</v>
      </c>
      <c r="E11" s="8" t="s">
        <v>47</v>
      </c>
      <c r="F11" s="8" t="s">
        <v>44</v>
      </c>
      <c r="G11" s="8" t="s">
        <v>57</v>
      </c>
      <c r="H11" s="8" t="s">
        <v>3</v>
      </c>
    </row>
    <row r="12" spans="1:8" ht="29" x14ac:dyDescent="0.35">
      <c r="A12" s="2" t="s">
        <v>16</v>
      </c>
      <c r="B12" s="8" t="s">
        <v>54</v>
      </c>
      <c r="C12" s="2" t="s">
        <v>114</v>
      </c>
      <c r="D12" s="8" t="s">
        <v>45</v>
      </c>
      <c r="E12" s="8" t="s">
        <v>49</v>
      </c>
      <c r="F12" s="8" t="s">
        <v>44</v>
      </c>
      <c r="G12" s="8" t="s">
        <v>57</v>
      </c>
      <c r="H12" s="8" t="s">
        <v>3</v>
      </c>
    </row>
    <row r="13" spans="1:8" ht="29" x14ac:dyDescent="0.35">
      <c r="A13" s="2" t="s">
        <v>17</v>
      </c>
      <c r="B13" s="8" t="s">
        <v>54</v>
      </c>
      <c r="C13" s="2" t="s">
        <v>31</v>
      </c>
      <c r="D13" s="8" t="s">
        <v>43</v>
      </c>
      <c r="E13" s="8" t="s">
        <v>47</v>
      </c>
      <c r="F13" s="8" t="s">
        <v>43</v>
      </c>
      <c r="G13" s="8" t="s">
        <v>40</v>
      </c>
      <c r="H13" s="8" t="s">
        <v>3</v>
      </c>
    </row>
    <row r="14" spans="1:8" ht="43.5" x14ac:dyDescent="0.35">
      <c r="A14" s="2" t="s">
        <v>104</v>
      </c>
      <c r="B14" s="8" t="s">
        <v>105</v>
      </c>
      <c r="C14" s="2" t="s">
        <v>111</v>
      </c>
      <c r="D14" s="8"/>
      <c r="E14" s="8"/>
      <c r="F14" s="8"/>
      <c r="G14" s="8" t="s">
        <v>57</v>
      </c>
      <c r="H14" s="8" t="s">
        <v>3</v>
      </c>
    </row>
    <row r="19" spans="1:8" x14ac:dyDescent="0.35">
      <c r="A19" s="2"/>
      <c r="B19" s="2"/>
      <c r="C19" s="2"/>
      <c r="D19" s="2"/>
      <c r="E19" s="2"/>
      <c r="F19" s="2"/>
      <c r="G19" s="2"/>
      <c r="H19" s="2"/>
    </row>
    <row r="20" spans="1:8" x14ac:dyDescent="0.35">
      <c r="A20" s="2"/>
      <c r="B20" s="2"/>
      <c r="C20" s="2"/>
      <c r="D20" s="2"/>
      <c r="E20" s="2"/>
      <c r="F20" s="2"/>
      <c r="G20" s="2"/>
      <c r="H20" s="2"/>
    </row>
    <row r="21" spans="1:8" x14ac:dyDescent="0.35">
      <c r="A21" s="2"/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2"/>
      <c r="B23" s="2"/>
      <c r="C23" s="2"/>
      <c r="D23" s="2"/>
      <c r="E23" s="2"/>
      <c r="F23" s="2"/>
      <c r="G23" s="2"/>
      <c r="H23" s="2"/>
    </row>
    <row r="24" spans="1:8" x14ac:dyDescent="0.35">
      <c r="A24" s="2"/>
      <c r="B24" s="2"/>
      <c r="C24" s="2"/>
      <c r="D24" s="2"/>
      <c r="E24" s="2"/>
      <c r="F24" s="2"/>
      <c r="G24" s="2"/>
      <c r="H24" s="2"/>
    </row>
    <row r="25" spans="1:8" x14ac:dyDescent="0.35">
      <c r="A25" s="2"/>
      <c r="B25" s="2"/>
      <c r="C25" s="2"/>
      <c r="D25" s="2"/>
      <c r="E25" s="2"/>
      <c r="F25" s="2"/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</sheetData>
  <phoneticPr fontId="2" type="noConversion"/>
  <dataValidations count="1">
    <dataValidation type="list" allowBlank="1" showInputMessage="1" showErrorMessage="1" sqref="G19:H20" xr:uid="{71345460-ED30-4F78-B204-65DC38DA2A82}">
      <formula1>#REF!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CC7893-55D9-46F5-A568-76B3D8C1A312}">
          <x14:formula1>
            <xm:f>TR!$D$2:$D$5</xm:f>
          </x14:formula1>
          <xm:sqref>D2:D14</xm:sqref>
        </x14:dataValidation>
        <x14:dataValidation type="list" allowBlank="1" showInputMessage="1" showErrorMessage="1" xr:uid="{9C27A77F-E116-42CD-BDCE-7A70AD842C65}">
          <x14:formula1>
            <xm:f>TR!$E$2:$E$5</xm:f>
          </x14:formula1>
          <xm:sqref>E2:E14</xm:sqref>
        </x14:dataValidation>
        <x14:dataValidation type="list" allowBlank="1" showInputMessage="1" showErrorMessage="1" xr:uid="{98BB2CBB-FF34-44C5-A243-9FACF8C8CE01}">
          <x14:formula1>
            <xm:f>TR!$F$2:$F$5</xm:f>
          </x14:formula1>
          <xm:sqref>F2:F14</xm:sqref>
        </x14:dataValidation>
        <x14:dataValidation type="list" allowBlank="1" showInputMessage="1" showErrorMessage="1" xr:uid="{5F41119F-C52C-417C-BD56-F14332C4F9BE}">
          <x14:formula1>
            <xm:f>TR!$G$2:$G$5</xm:f>
          </x14:formula1>
          <xm:sqref>G2:G14</xm:sqref>
        </x14:dataValidation>
        <x14:dataValidation type="list" allowBlank="1" showInputMessage="1" showErrorMessage="1" xr:uid="{9040E3A6-9028-4057-A804-63BD0E18AA29}">
          <x14:formula1>
            <xm:f>TR!$H$2:$H$5</xm:f>
          </x14:formula1>
          <xm:sqref>H2:H14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D52B-CD2C-489F-B99A-26CA0D77ED0C}">
  <dimension ref="A1:H49"/>
  <sheetViews>
    <sheetView tabSelected="1" zoomScaleNormal="100" zoomScaleSheetLayoutView="100" workbookViewId="0">
      <selection activeCell="C3" sqref="C3"/>
    </sheetView>
  </sheetViews>
  <sheetFormatPr baseColWidth="10" defaultRowHeight="14.5" x14ac:dyDescent="0.35"/>
  <cols>
    <col min="1" max="1" width="7.1796875" bestFit="1" customWidth="1"/>
    <col min="2" max="2" width="11.7265625" bestFit="1" customWidth="1"/>
    <col min="3" max="3" width="38.81640625" customWidth="1"/>
    <col min="4" max="4" width="13.08984375" bestFit="1" customWidth="1"/>
    <col min="5" max="5" width="10.7265625" bestFit="1" customWidth="1"/>
    <col min="6" max="6" width="13.36328125" bestFit="1" customWidth="1"/>
    <col min="7" max="7" width="9" bestFit="1" customWidth="1"/>
    <col min="8" max="8" width="11.08984375" bestFit="1" customWidth="1"/>
  </cols>
  <sheetData>
    <row r="1" spans="1:8" x14ac:dyDescent="0.35">
      <c r="A1" s="1" t="s">
        <v>0</v>
      </c>
      <c r="B1" s="1" t="s">
        <v>35</v>
      </c>
      <c r="C1" s="1" t="s">
        <v>18</v>
      </c>
      <c r="D1" s="1" t="s">
        <v>36</v>
      </c>
      <c r="E1" s="1" t="s">
        <v>37</v>
      </c>
      <c r="F1" s="1" t="s">
        <v>38</v>
      </c>
      <c r="G1" s="1" t="s">
        <v>1</v>
      </c>
      <c r="H1" s="1" t="s">
        <v>2</v>
      </c>
    </row>
    <row r="2" spans="1:8" ht="43.5" x14ac:dyDescent="0.35">
      <c r="A2" s="2" t="s">
        <v>19</v>
      </c>
      <c r="B2" s="8" t="s">
        <v>63</v>
      </c>
      <c r="C2" s="2" t="s">
        <v>68</v>
      </c>
      <c r="D2" s="8" t="s">
        <v>45</v>
      </c>
      <c r="E2" s="8" t="s">
        <v>49</v>
      </c>
      <c r="F2" s="8" t="s">
        <v>44</v>
      </c>
      <c r="G2" s="8" t="s">
        <v>4</v>
      </c>
      <c r="H2" s="8" t="s">
        <v>3</v>
      </c>
    </row>
    <row r="3" spans="1:8" ht="72.5" x14ac:dyDescent="0.35">
      <c r="A3" s="2" t="s">
        <v>20</v>
      </c>
      <c r="B3" s="8" t="s">
        <v>113</v>
      </c>
      <c r="C3" s="2" t="s">
        <v>185</v>
      </c>
      <c r="D3" s="8" t="s">
        <v>45</v>
      </c>
      <c r="E3" s="8" t="s">
        <v>49</v>
      </c>
      <c r="F3" s="8" t="s">
        <v>44</v>
      </c>
      <c r="G3" s="8" t="s">
        <v>57</v>
      </c>
      <c r="H3" s="8" t="s">
        <v>3</v>
      </c>
    </row>
    <row r="4" spans="1:8" ht="87" x14ac:dyDescent="0.35">
      <c r="A4" s="2" t="s">
        <v>21</v>
      </c>
      <c r="B4" s="8" t="s">
        <v>69</v>
      </c>
      <c r="C4" s="2" t="s">
        <v>71</v>
      </c>
      <c r="D4" s="8" t="s">
        <v>45</v>
      </c>
      <c r="E4" s="8" t="s">
        <v>49</v>
      </c>
      <c r="F4" s="8" t="s">
        <v>44</v>
      </c>
      <c r="G4" s="8" t="s">
        <v>4</v>
      </c>
      <c r="H4" s="8" t="s">
        <v>3</v>
      </c>
    </row>
    <row r="5" spans="1:8" ht="72.5" x14ac:dyDescent="0.35">
      <c r="A5" s="2" t="s">
        <v>22</v>
      </c>
      <c r="B5" s="8" t="s">
        <v>69</v>
      </c>
      <c r="C5" s="2" t="s">
        <v>74</v>
      </c>
      <c r="D5" s="8" t="s">
        <v>44</v>
      </c>
      <c r="E5" s="8" t="s">
        <v>48</v>
      </c>
      <c r="F5" s="8" t="s">
        <v>43</v>
      </c>
      <c r="G5" s="8" t="s">
        <v>4</v>
      </c>
      <c r="H5" s="8" t="s">
        <v>3</v>
      </c>
    </row>
    <row r="6" spans="1:8" ht="29" x14ac:dyDescent="0.35">
      <c r="A6" s="2" t="s">
        <v>23</v>
      </c>
      <c r="B6" s="8" t="s">
        <v>63</v>
      </c>
      <c r="C6" s="2" t="s">
        <v>67</v>
      </c>
      <c r="D6" s="8" t="s">
        <v>43</v>
      </c>
      <c r="E6" s="8" t="s">
        <v>47</v>
      </c>
      <c r="F6" s="8" t="s">
        <v>43</v>
      </c>
      <c r="G6" s="8" t="s">
        <v>4</v>
      </c>
      <c r="H6" s="8" t="s">
        <v>3</v>
      </c>
    </row>
    <row r="7" spans="1:8" ht="58" x14ac:dyDescent="0.35">
      <c r="A7" s="2" t="s">
        <v>24</v>
      </c>
      <c r="B7" s="8" t="s">
        <v>63</v>
      </c>
      <c r="C7" s="2" t="s">
        <v>75</v>
      </c>
      <c r="D7" s="8" t="s">
        <v>44</v>
      </c>
      <c r="E7" s="8" t="s">
        <v>48</v>
      </c>
      <c r="F7" s="8" t="s">
        <v>43</v>
      </c>
      <c r="G7" s="8" t="s">
        <v>4</v>
      </c>
      <c r="H7" s="8" t="s">
        <v>3</v>
      </c>
    </row>
    <row r="8" spans="1:8" ht="58" x14ac:dyDescent="0.35">
      <c r="A8" s="2" t="s">
        <v>25</v>
      </c>
      <c r="B8" s="8" t="s">
        <v>69</v>
      </c>
      <c r="C8" s="2" t="s">
        <v>115</v>
      </c>
      <c r="D8" s="8" t="s">
        <v>44</v>
      </c>
      <c r="E8" s="8" t="s">
        <v>48</v>
      </c>
      <c r="F8" s="8" t="s">
        <v>43</v>
      </c>
      <c r="G8" s="8" t="s">
        <v>40</v>
      </c>
      <c r="H8" s="8" t="s">
        <v>3</v>
      </c>
    </row>
    <row r="9" spans="1:8" ht="87" x14ac:dyDescent="0.35">
      <c r="A9" s="2" t="s">
        <v>26</v>
      </c>
      <c r="B9" s="8" t="s">
        <v>63</v>
      </c>
      <c r="C9" s="2" t="s">
        <v>183</v>
      </c>
      <c r="D9" s="8" t="s">
        <v>45</v>
      </c>
      <c r="E9" s="8" t="s">
        <v>49</v>
      </c>
      <c r="F9" s="8" t="s">
        <v>44</v>
      </c>
      <c r="G9" s="8" t="s">
        <v>57</v>
      </c>
      <c r="H9" s="8" t="s">
        <v>3</v>
      </c>
    </row>
    <row r="10" spans="1:8" ht="58" x14ac:dyDescent="0.35">
      <c r="A10" s="2" t="s">
        <v>27</v>
      </c>
      <c r="B10" s="8" t="s">
        <v>69</v>
      </c>
      <c r="C10" s="2" t="s">
        <v>184</v>
      </c>
      <c r="D10" s="8" t="s">
        <v>44</v>
      </c>
      <c r="E10" s="8" t="s">
        <v>47</v>
      </c>
      <c r="F10" s="8" t="s">
        <v>43</v>
      </c>
      <c r="G10" s="8" t="s">
        <v>4</v>
      </c>
      <c r="H10" s="8" t="s">
        <v>3</v>
      </c>
    </row>
    <row r="11" spans="1:8" ht="72.5" x14ac:dyDescent="0.35">
      <c r="A11" s="2" t="s">
        <v>28</v>
      </c>
      <c r="B11" s="8" t="s">
        <v>63</v>
      </c>
      <c r="C11" s="2" t="s">
        <v>76</v>
      </c>
      <c r="D11" s="8" t="s">
        <v>44</v>
      </c>
      <c r="E11" s="8" t="s">
        <v>48</v>
      </c>
      <c r="F11" s="8" t="s">
        <v>43</v>
      </c>
      <c r="G11" s="8" t="s">
        <v>39</v>
      </c>
      <c r="H11" s="8" t="s">
        <v>3</v>
      </c>
    </row>
    <row r="12" spans="1:8" ht="58" x14ac:dyDescent="0.35">
      <c r="A12" s="2" t="s">
        <v>29</v>
      </c>
      <c r="B12" s="8" t="s">
        <v>63</v>
      </c>
      <c r="C12" s="2" t="s">
        <v>70</v>
      </c>
      <c r="D12" s="8" t="s">
        <v>45</v>
      </c>
      <c r="E12" s="8" t="s">
        <v>49</v>
      </c>
      <c r="F12" s="8" t="s">
        <v>44</v>
      </c>
      <c r="G12" s="8" t="s">
        <v>57</v>
      </c>
      <c r="H12" s="8" t="s">
        <v>3</v>
      </c>
    </row>
    <row r="13" spans="1:8" ht="29" x14ac:dyDescent="0.35">
      <c r="A13" s="2" t="s">
        <v>30</v>
      </c>
      <c r="B13" s="8" t="s">
        <v>54</v>
      </c>
      <c r="C13" s="2" t="s">
        <v>61</v>
      </c>
      <c r="D13" s="8" t="s">
        <v>45</v>
      </c>
      <c r="E13" s="8" t="s">
        <v>49</v>
      </c>
      <c r="F13" s="8" t="s">
        <v>43</v>
      </c>
      <c r="G13" s="8" t="s">
        <v>57</v>
      </c>
      <c r="H13" s="8" t="s">
        <v>3</v>
      </c>
    </row>
    <row r="14" spans="1:8" ht="72.5" x14ac:dyDescent="0.35">
      <c r="A14" s="2" t="s">
        <v>33</v>
      </c>
      <c r="B14" s="8" t="s">
        <v>63</v>
      </c>
      <c r="C14" s="2" t="s">
        <v>180</v>
      </c>
      <c r="D14" s="8" t="s">
        <v>45</v>
      </c>
      <c r="E14" s="8" t="s">
        <v>49</v>
      </c>
      <c r="F14" s="8" t="s">
        <v>43</v>
      </c>
      <c r="G14" s="8" t="s">
        <v>57</v>
      </c>
      <c r="H14" s="8" t="s">
        <v>3</v>
      </c>
    </row>
    <row r="15" spans="1:8" ht="72.5" x14ac:dyDescent="0.35">
      <c r="A15" s="2" t="s">
        <v>58</v>
      </c>
      <c r="B15" s="8" t="s">
        <v>54</v>
      </c>
      <c r="C15" s="2" t="s">
        <v>121</v>
      </c>
      <c r="D15" s="8" t="s">
        <v>45</v>
      </c>
      <c r="E15" s="8" t="s">
        <v>49</v>
      </c>
      <c r="F15" s="8" t="s">
        <v>44</v>
      </c>
      <c r="G15" s="8" t="s">
        <v>57</v>
      </c>
      <c r="H15" s="8" t="s">
        <v>3</v>
      </c>
    </row>
    <row r="16" spans="1:8" ht="43.5" x14ac:dyDescent="0.35">
      <c r="A16" s="2" t="s">
        <v>59</v>
      </c>
      <c r="B16" s="8" t="s">
        <v>63</v>
      </c>
      <c r="C16" s="2" t="s">
        <v>116</v>
      </c>
      <c r="D16" s="8" t="s">
        <v>44</v>
      </c>
      <c r="E16" s="8" t="s">
        <v>47</v>
      </c>
      <c r="F16" s="8" t="s">
        <v>43</v>
      </c>
      <c r="G16" s="8" t="s">
        <v>57</v>
      </c>
      <c r="H16" s="8" t="s">
        <v>3</v>
      </c>
    </row>
    <row r="17" spans="1:8" ht="58" x14ac:dyDescent="0.35">
      <c r="A17" s="2" t="s">
        <v>60</v>
      </c>
      <c r="B17" s="8" t="s">
        <v>63</v>
      </c>
      <c r="C17" s="2" t="s">
        <v>181</v>
      </c>
      <c r="D17" s="8" t="s">
        <v>44</v>
      </c>
      <c r="E17" s="8" t="s">
        <v>47</v>
      </c>
      <c r="F17" s="8" t="s">
        <v>44</v>
      </c>
      <c r="G17" s="8" t="s">
        <v>40</v>
      </c>
      <c r="H17" s="8" t="s">
        <v>3</v>
      </c>
    </row>
    <row r="18" spans="1:8" ht="72.5" x14ac:dyDescent="0.35">
      <c r="A18" s="2" t="s">
        <v>108</v>
      </c>
      <c r="B18" s="8" t="s">
        <v>105</v>
      </c>
      <c r="C18" s="2" t="s">
        <v>110</v>
      </c>
      <c r="D18" s="8"/>
      <c r="E18" s="8"/>
      <c r="F18" s="8"/>
      <c r="G18" s="8" t="s">
        <v>57</v>
      </c>
      <c r="H18" s="8" t="s">
        <v>3</v>
      </c>
    </row>
    <row r="19" spans="1:8" ht="58" x14ac:dyDescent="0.35">
      <c r="A19" s="2" t="s">
        <v>109</v>
      </c>
      <c r="B19" s="8" t="s">
        <v>105</v>
      </c>
      <c r="C19" s="2" t="s">
        <v>107</v>
      </c>
      <c r="D19" s="8"/>
      <c r="E19" s="8"/>
      <c r="F19" s="8"/>
      <c r="G19" s="8" t="s">
        <v>57</v>
      </c>
      <c r="H19" s="8" t="s">
        <v>3</v>
      </c>
    </row>
    <row r="20" spans="1:8" ht="43.5" x14ac:dyDescent="0.35">
      <c r="A20" s="2" t="s">
        <v>112</v>
      </c>
      <c r="B20" s="8" t="s">
        <v>105</v>
      </c>
      <c r="C20" s="2" t="s">
        <v>119</v>
      </c>
      <c r="D20" s="2"/>
      <c r="E20" s="8"/>
      <c r="F20" s="8"/>
      <c r="G20" s="8" t="s">
        <v>4</v>
      </c>
      <c r="H20" s="8" t="s">
        <v>3</v>
      </c>
    </row>
    <row r="21" spans="1:8" ht="43.5" x14ac:dyDescent="0.35">
      <c r="A21" s="2" t="s">
        <v>117</v>
      </c>
      <c r="B21" s="8" t="s">
        <v>105</v>
      </c>
      <c r="C21" s="2" t="s">
        <v>120</v>
      </c>
      <c r="D21" s="8"/>
      <c r="E21" s="8"/>
      <c r="F21" s="8"/>
      <c r="G21" s="8" t="s">
        <v>57</v>
      </c>
      <c r="H21" s="8" t="s">
        <v>3</v>
      </c>
    </row>
    <row r="22" spans="1:8" ht="43.5" x14ac:dyDescent="0.35">
      <c r="A22" s="2" t="s">
        <v>118</v>
      </c>
      <c r="B22" s="8" t="s">
        <v>105</v>
      </c>
      <c r="C22" s="2" t="s">
        <v>182</v>
      </c>
      <c r="D22" s="8"/>
      <c r="E22" s="8"/>
      <c r="F22" s="8"/>
      <c r="G22" s="8" t="s">
        <v>57</v>
      </c>
      <c r="H22" s="8" t="s">
        <v>3</v>
      </c>
    </row>
    <row r="23" spans="1:8" x14ac:dyDescent="0.35">
      <c r="A23" s="2"/>
      <c r="B23" s="2"/>
      <c r="C23" s="2"/>
      <c r="D23" s="8"/>
      <c r="E23" s="8"/>
      <c r="F23" s="8"/>
      <c r="G23" s="8"/>
      <c r="H23" s="8"/>
    </row>
    <row r="24" spans="1:8" x14ac:dyDescent="0.35">
      <c r="A24" s="2"/>
      <c r="B24" s="2"/>
      <c r="C24" s="2"/>
      <c r="D24" s="2"/>
      <c r="E24" s="2"/>
      <c r="F24" s="2"/>
      <c r="G24" s="2"/>
    </row>
    <row r="25" spans="1:8" x14ac:dyDescent="0.35">
      <c r="A25" s="2"/>
      <c r="B25" s="2"/>
      <c r="C25" s="2"/>
      <c r="D25" s="2"/>
      <c r="E25" s="2"/>
      <c r="F25" s="2"/>
      <c r="G25" s="2"/>
    </row>
    <row r="26" spans="1:8" x14ac:dyDescent="0.35">
      <c r="A26" s="2"/>
      <c r="B26" s="2"/>
      <c r="C26" s="2"/>
      <c r="D26" s="2"/>
      <c r="E26" s="2"/>
      <c r="F26" s="2"/>
      <c r="G26" s="2"/>
    </row>
    <row r="27" spans="1:8" x14ac:dyDescent="0.35">
      <c r="A27" s="2"/>
      <c r="B27" s="2"/>
      <c r="C27" s="2"/>
      <c r="D27" s="2"/>
      <c r="E27" s="2"/>
      <c r="F27" s="2"/>
      <c r="G27" s="2"/>
    </row>
    <row r="28" spans="1:8" x14ac:dyDescent="0.35">
      <c r="A28" s="2"/>
      <c r="B28" s="2"/>
      <c r="C28" s="2"/>
      <c r="D28" s="2"/>
      <c r="E28" s="2"/>
      <c r="F28" s="2"/>
      <c r="G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H31" s="2"/>
    </row>
    <row r="32" spans="1:8" x14ac:dyDescent="0.35">
      <c r="A32" s="2"/>
      <c r="B32" s="2"/>
      <c r="C32" s="2"/>
      <c r="D32" s="2"/>
      <c r="E32" s="2"/>
      <c r="F32" s="2"/>
      <c r="H32" s="2"/>
    </row>
    <row r="34" spans="1:8" x14ac:dyDescent="0.35">
      <c r="A34" s="1"/>
      <c r="B34" s="1"/>
      <c r="C34" s="1"/>
      <c r="D34" s="1"/>
      <c r="E34" s="1"/>
      <c r="F34" s="1"/>
      <c r="H34" s="1"/>
    </row>
    <row r="35" spans="1:8" x14ac:dyDescent="0.35">
      <c r="A35" s="2"/>
      <c r="B35" s="2"/>
      <c r="C35" s="2"/>
      <c r="D35" s="2"/>
      <c r="E35" s="2"/>
      <c r="F35" s="2"/>
      <c r="H35" s="2"/>
    </row>
    <row r="36" spans="1:8" x14ac:dyDescent="0.35">
      <c r="A36" s="2"/>
      <c r="B36" s="2"/>
      <c r="C36" s="2"/>
      <c r="D36" s="2"/>
      <c r="E36" s="2"/>
      <c r="F36" s="2"/>
      <c r="H36" s="2"/>
    </row>
    <row r="37" spans="1:8" x14ac:dyDescent="0.35">
      <c r="A37" s="2"/>
      <c r="B37" s="2"/>
      <c r="C37" s="2"/>
      <c r="D37" s="2"/>
      <c r="E37" s="2"/>
      <c r="F37" s="2"/>
      <c r="H37" s="2"/>
    </row>
    <row r="38" spans="1:8" x14ac:dyDescent="0.35">
      <c r="A38" s="2"/>
      <c r="B38" s="2"/>
      <c r="C38" s="2"/>
      <c r="D38" s="2"/>
      <c r="E38" s="2"/>
      <c r="F38" s="2"/>
      <c r="H38" s="2"/>
    </row>
    <row r="39" spans="1:8" x14ac:dyDescent="0.35">
      <c r="A39" s="2"/>
      <c r="B39" s="2"/>
      <c r="C39" s="2"/>
      <c r="D39" s="2"/>
      <c r="E39" s="2"/>
      <c r="F39" s="2"/>
      <c r="H39" s="2"/>
    </row>
    <row r="40" spans="1:8" x14ac:dyDescent="0.35">
      <c r="A40" s="2"/>
      <c r="B40" s="2"/>
      <c r="C40" s="2"/>
      <c r="D40" s="2"/>
      <c r="E40" s="2"/>
      <c r="F40" s="2"/>
      <c r="H40" s="2"/>
    </row>
    <row r="41" spans="1:8" x14ac:dyDescent="0.35">
      <c r="A41" s="2"/>
      <c r="B41" s="2"/>
      <c r="C41" s="2"/>
      <c r="D41" s="2"/>
      <c r="E41" s="2"/>
      <c r="F41" s="2"/>
      <c r="H41" s="2"/>
    </row>
    <row r="42" spans="1:8" x14ac:dyDescent="0.35">
      <c r="A42" s="2"/>
      <c r="B42" s="2"/>
      <c r="C42" s="2"/>
      <c r="D42" s="2"/>
      <c r="E42" s="2"/>
      <c r="F42" s="2"/>
      <c r="H42" s="2"/>
    </row>
    <row r="43" spans="1:8" x14ac:dyDescent="0.35">
      <c r="A43" s="2"/>
      <c r="B43" s="2"/>
      <c r="C43" s="2"/>
      <c r="D43" s="2"/>
      <c r="E43" s="2"/>
      <c r="F43" s="2"/>
      <c r="H43" s="2"/>
    </row>
    <row r="44" spans="1:8" x14ac:dyDescent="0.35">
      <c r="A44" s="2"/>
      <c r="B44" s="2"/>
      <c r="C44" s="2"/>
      <c r="D44" s="2"/>
      <c r="E44" s="2"/>
      <c r="F44" s="2"/>
      <c r="H44" s="2"/>
    </row>
    <row r="45" spans="1:8" x14ac:dyDescent="0.35">
      <c r="A45" s="2"/>
      <c r="B45" s="2"/>
      <c r="C45" s="2"/>
      <c r="D45" s="2"/>
      <c r="E45" s="2"/>
      <c r="F45" s="2"/>
      <c r="H45" s="2"/>
    </row>
    <row r="46" spans="1:8" x14ac:dyDescent="0.35">
      <c r="A46" s="2"/>
      <c r="B46" s="2"/>
      <c r="C46" s="2"/>
      <c r="D46" s="2"/>
      <c r="E46" s="2"/>
      <c r="F46" s="2"/>
      <c r="H46" s="2"/>
    </row>
    <row r="47" spans="1:8" x14ac:dyDescent="0.35">
      <c r="A47" s="2"/>
      <c r="B47" s="2"/>
      <c r="C47" s="2"/>
      <c r="D47" s="2"/>
      <c r="E47" s="2"/>
      <c r="F47" s="2"/>
      <c r="H47" s="2"/>
    </row>
    <row r="48" spans="1:8" x14ac:dyDescent="0.35">
      <c r="A48" s="2"/>
      <c r="B48" s="2"/>
      <c r="C48" s="2"/>
      <c r="D48" s="2"/>
      <c r="E48" s="2"/>
      <c r="F48" s="2"/>
      <c r="H48" s="2"/>
    </row>
    <row r="49" spans="1:8" x14ac:dyDescent="0.35">
      <c r="A49" s="2"/>
      <c r="B49" s="2"/>
      <c r="C49" s="2"/>
      <c r="D49" s="2"/>
      <c r="E49" s="2"/>
      <c r="F49" s="2"/>
      <c r="H49" s="2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66B8C79-7337-4E91-884D-3A8D9E68C2C9}">
          <x14:formula1>
            <xm:f>TR!$D$2:$D$5</xm:f>
          </x14:formula1>
          <xm:sqref>D2:D19</xm:sqref>
        </x14:dataValidation>
        <x14:dataValidation type="list" allowBlank="1" showInputMessage="1" showErrorMessage="1" xr:uid="{532EC350-FD90-46BE-A28E-A67B86445B0F}">
          <x14:formula1>
            <xm:f>TR!$H$2:$H$5</xm:f>
          </x14:formula1>
          <xm:sqref>H2:H22</xm:sqref>
        </x14:dataValidation>
        <x14:dataValidation type="list" allowBlank="1" showInputMessage="1" showErrorMessage="1" xr:uid="{3F9E1297-6283-4F59-A3E9-AEC91CA074E7}">
          <x14:formula1>
            <xm:f>TR!$G$2:$G$5</xm:f>
          </x14:formula1>
          <xm:sqref>G2:G22</xm:sqref>
        </x14:dataValidation>
        <x14:dataValidation type="list" allowBlank="1" showInputMessage="1" showErrorMessage="1" xr:uid="{637E8218-2832-4672-B3F8-832BC7506CDF}">
          <x14:formula1>
            <xm:f>TR!$F$2:$F$5</xm:f>
          </x14:formula1>
          <xm:sqref>F2:F22</xm:sqref>
        </x14:dataValidation>
        <x14:dataValidation type="list" allowBlank="1" showInputMessage="1" showErrorMessage="1" xr:uid="{CE552615-8A7E-46B6-B115-A90002F95248}">
          <x14:formula1>
            <xm:f>TR!$E$2:$E$5</xm:f>
          </x14:formula1>
          <xm:sqref>E2:E22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C126-434C-482D-A06F-9B00E9B5C19F}">
  <dimension ref="A1:H115"/>
  <sheetViews>
    <sheetView topLeftCell="A7" zoomScaleNormal="100" zoomScaleSheetLayoutView="100" workbookViewId="0">
      <selection activeCell="B21" sqref="B21"/>
    </sheetView>
  </sheetViews>
  <sheetFormatPr baseColWidth="10" defaultRowHeight="14.5" x14ac:dyDescent="0.35"/>
  <cols>
    <col min="1" max="1" width="10" bestFit="1" customWidth="1"/>
    <col min="2" max="2" width="9.6328125" bestFit="1" customWidth="1"/>
    <col min="4" max="4" width="10.81640625" bestFit="1" customWidth="1"/>
    <col min="5" max="5" width="7.6328125" bestFit="1" customWidth="1"/>
    <col min="6" max="6" width="11.08984375" bestFit="1" customWidth="1"/>
    <col min="7" max="7" width="13.1796875" bestFit="1" customWidth="1"/>
    <col min="8" max="8" width="11.81640625" bestFit="1" customWidth="1"/>
  </cols>
  <sheetData>
    <row r="1" spans="1:8" x14ac:dyDescent="0.35">
      <c r="A1" s="1" t="s">
        <v>51</v>
      </c>
      <c r="B1" s="1" t="s">
        <v>50</v>
      </c>
      <c r="D1" t="s">
        <v>36</v>
      </c>
      <c r="E1" t="s">
        <v>46</v>
      </c>
      <c r="F1" t="s">
        <v>38</v>
      </c>
      <c r="G1" t="s">
        <v>32</v>
      </c>
      <c r="H1" t="s">
        <v>2</v>
      </c>
    </row>
    <row r="2" spans="1:8" x14ac:dyDescent="0.35">
      <c r="A2" s="2" t="s">
        <v>6</v>
      </c>
      <c r="B2" s="2" t="s">
        <v>22</v>
      </c>
      <c r="D2" t="s">
        <v>43</v>
      </c>
      <c r="E2" t="s">
        <v>47</v>
      </c>
      <c r="F2" t="s">
        <v>43</v>
      </c>
      <c r="G2" t="s">
        <v>4</v>
      </c>
      <c r="H2" t="s">
        <v>3</v>
      </c>
    </row>
    <row r="3" spans="1:8" x14ac:dyDescent="0.35">
      <c r="A3" s="2" t="s">
        <v>6</v>
      </c>
      <c r="B3" s="2" t="s">
        <v>24</v>
      </c>
      <c r="D3" t="s">
        <v>44</v>
      </c>
      <c r="E3" t="s">
        <v>48</v>
      </c>
      <c r="F3" t="s">
        <v>44</v>
      </c>
      <c r="G3" t="s">
        <v>57</v>
      </c>
      <c r="H3" t="s">
        <v>41</v>
      </c>
    </row>
    <row r="4" spans="1:8" x14ac:dyDescent="0.35">
      <c r="A4" s="2" t="s">
        <v>7</v>
      </c>
      <c r="B4" s="2" t="s">
        <v>21</v>
      </c>
      <c r="D4" t="s">
        <v>45</v>
      </c>
      <c r="E4" t="s">
        <v>49</v>
      </c>
      <c r="F4" t="s">
        <v>45</v>
      </c>
      <c r="G4" t="s">
        <v>40</v>
      </c>
      <c r="H4" t="s">
        <v>5</v>
      </c>
    </row>
    <row r="5" spans="1:8" x14ac:dyDescent="0.35">
      <c r="A5" s="2" t="s">
        <v>7</v>
      </c>
      <c r="B5" s="2" t="s">
        <v>25</v>
      </c>
      <c r="D5" t="s">
        <v>52</v>
      </c>
      <c r="E5" t="s">
        <v>52</v>
      </c>
      <c r="F5" t="s">
        <v>52</v>
      </c>
      <c r="G5" t="s">
        <v>39</v>
      </c>
      <c r="H5" t="s">
        <v>42</v>
      </c>
    </row>
    <row r="6" spans="1:8" x14ac:dyDescent="0.35">
      <c r="A6" s="2" t="s">
        <v>8</v>
      </c>
      <c r="B6" s="2" t="s">
        <v>20</v>
      </c>
    </row>
    <row r="7" spans="1:8" x14ac:dyDescent="0.35">
      <c r="A7" s="2" t="s">
        <v>8</v>
      </c>
      <c r="B7" s="2" t="s">
        <v>21</v>
      </c>
      <c r="D7" s="1" t="s">
        <v>78</v>
      </c>
      <c r="E7" s="1" t="s">
        <v>85</v>
      </c>
      <c r="F7" s="1"/>
      <c r="G7" s="1"/>
    </row>
    <row r="8" spans="1:8" x14ac:dyDescent="0.35">
      <c r="A8" s="2" t="s">
        <v>9</v>
      </c>
      <c r="B8" s="2" t="s">
        <v>19</v>
      </c>
      <c r="D8" s="2" t="s">
        <v>47</v>
      </c>
      <c r="E8" s="2">
        <v>1</v>
      </c>
      <c r="F8" s="2"/>
      <c r="G8" s="2"/>
    </row>
    <row r="9" spans="1:8" x14ac:dyDescent="0.35">
      <c r="A9" s="2" t="s">
        <v>9</v>
      </c>
      <c r="B9" s="2" t="s">
        <v>20</v>
      </c>
      <c r="D9" s="2" t="s">
        <v>48</v>
      </c>
      <c r="E9" s="2">
        <v>2</v>
      </c>
      <c r="F9" s="2"/>
      <c r="G9" s="2"/>
    </row>
    <row r="10" spans="1:8" x14ac:dyDescent="0.35">
      <c r="A10" s="2" t="s">
        <v>9</v>
      </c>
      <c r="B10" s="2" t="s">
        <v>21</v>
      </c>
      <c r="D10" s="2" t="s">
        <v>49</v>
      </c>
      <c r="E10" s="2">
        <v>3</v>
      </c>
      <c r="F10" s="2"/>
      <c r="G10" s="2"/>
    </row>
    <row r="11" spans="1:8" x14ac:dyDescent="0.35">
      <c r="A11" s="2" t="s">
        <v>10</v>
      </c>
      <c r="B11" s="2" t="s">
        <v>22</v>
      </c>
      <c r="D11" s="2" t="s">
        <v>52</v>
      </c>
      <c r="E11" s="2">
        <v>0</v>
      </c>
      <c r="F11" s="2"/>
      <c r="G11" s="2"/>
    </row>
    <row r="12" spans="1:8" x14ac:dyDescent="0.35">
      <c r="A12" s="2" t="s">
        <v>10</v>
      </c>
      <c r="B12" s="2" t="s">
        <v>23</v>
      </c>
      <c r="F12" s="2"/>
      <c r="G12" s="2"/>
    </row>
    <row r="13" spans="1:8" x14ac:dyDescent="0.35">
      <c r="A13" s="2" t="s">
        <v>10</v>
      </c>
      <c r="B13" s="2" t="s">
        <v>26</v>
      </c>
    </row>
    <row r="14" spans="1:8" x14ac:dyDescent="0.35">
      <c r="A14" s="2" t="s">
        <v>10</v>
      </c>
      <c r="B14" s="2" t="s">
        <v>28</v>
      </c>
    </row>
    <row r="15" spans="1:8" x14ac:dyDescent="0.35">
      <c r="A15" s="2" t="s">
        <v>11</v>
      </c>
      <c r="B15" s="2" t="s">
        <v>29</v>
      </c>
    </row>
    <row r="16" spans="1:8" x14ac:dyDescent="0.35">
      <c r="A16" s="2" t="s">
        <v>11</v>
      </c>
      <c r="B16" s="2" t="s">
        <v>30</v>
      </c>
    </row>
    <row r="17" spans="1:2" x14ac:dyDescent="0.35">
      <c r="A17" s="2" t="s">
        <v>11</v>
      </c>
      <c r="B17" s="2" t="s">
        <v>33</v>
      </c>
    </row>
    <row r="18" spans="1:2" x14ac:dyDescent="0.35">
      <c r="A18" s="2" t="s">
        <v>11</v>
      </c>
      <c r="B18" s="2" t="s">
        <v>58</v>
      </c>
    </row>
    <row r="19" spans="1:2" x14ac:dyDescent="0.35">
      <c r="A19" s="2" t="s">
        <v>11</v>
      </c>
      <c r="B19" s="2" t="s">
        <v>108</v>
      </c>
    </row>
    <row r="20" spans="1:2" x14ac:dyDescent="0.35">
      <c r="A20" s="2" t="s">
        <v>11</v>
      </c>
      <c r="B20" s="2" t="s">
        <v>109</v>
      </c>
    </row>
    <row r="21" spans="1:2" x14ac:dyDescent="0.35">
      <c r="A21" s="2" t="s">
        <v>12</v>
      </c>
      <c r="B21" s="2" t="s">
        <v>27</v>
      </c>
    </row>
    <row r="22" spans="1:2" x14ac:dyDescent="0.35">
      <c r="A22" s="2" t="s">
        <v>12</v>
      </c>
      <c r="B22" s="2" t="s">
        <v>28</v>
      </c>
    </row>
    <row r="23" spans="1:2" x14ac:dyDescent="0.35">
      <c r="A23" s="2" t="s">
        <v>13</v>
      </c>
      <c r="B23" s="2" t="s">
        <v>58</v>
      </c>
    </row>
    <row r="24" spans="1:2" x14ac:dyDescent="0.35">
      <c r="A24" s="2" t="s">
        <v>13</v>
      </c>
      <c r="B24" s="2" t="s">
        <v>59</v>
      </c>
    </row>
    <row r="25" spans="1:2" x14ac:dyDescent="0.35">
      <c r="A25" s="2" t="s">
        <v>13</v>
      </c>
      <c r="B25" s="2" t="s">
        <v>60</v>
      </c>
    </row>
    <row r="26" spans="1:2" x14ac:dyDescent="0.35">
      <c r="A26" s="2" t="s">
        <v>13</v>
      </c>
      <c r="B26" s="2" t="s">
        <v>112</v>
      </c>
    </row>
    <row r="27" spans="1:2" x14ac:dyDescent="0.35">
      <c r="A27" s="2" t="s">
        <v>13</v>
      </c>
      <c r="B27" s="2" t="s">
        <v>118</v>
      </c>
    </row>
    <row r="28" spans="1:2" x14ac:dyDescent="0.35">
      <c r="A28" s="2" t="s">
        <v>14</v>
      </c>
      <c r="B28" s="2" t="s">
        <v>59</v>
      </c>
    </row>
    <row r="29" spans="1:2" x14ac:dyDescent="0.35">
      <c r="A29" s="2" t="s">
        <v>15</v>
      </c>
      <c r="B29" s="2" t="s">
        <v>59</v>
      </c>
    </row>
    <row r="30" spans="1:2" x14ac:dyDescent="0.35">
      <c r="A30" s="2" t="s">
        <v>16</v>
      </c>
      <c r="B30" s="2" t="s">
        <v>59</v>
      </c>
    </row>
    <row r="31" spans="1:2" x14ac:dyDescent="0.35">
      <c r="A31" s="2" t="s">
        <v>16</v>
      </c>
      <c r="B31" s="2" t="s">
        <v>60</v>
      </c>
    </row>
    <row r="32" spans="1:2" x14ac:dyDescent="0.35">
      <c r="A32" s="2" t="s">
        <v>16</v>
      </c>
      <c r="B32" s="2" t="s">
        <v>112</v>
      </c>
    </row>
    <row r="33" spans="1:2" x14ac:dyDescent="0.35">
      <c r="A33" s="2" t="s">
        <v>16</v>
      </c>
      <c r="B33" s="2" t="s">
        <v>118</v>
      </c>
    </row>
    <row r="34" spans="1:2" x14ac:dyDescent="0.35">
      <c r="A34" s="2" t="s">
        <v>17</v>
      </c>
      <c r="B34" s="2" t="s">
        <v>60</v>
      </c>
    </row>
    <row r="35" spans="1:2" x14ac:dyDescent="0.35">
      <c r="A35" s="2" t="s">
        <v>104</v>
      </c>
      <c r="B35" s="2" t="s">
        <v>108</v>
      </c>
    </row>
    <row r="36" spans="1:2" x14ac:dyDescent="0.35">
      <c r="A36" s="2" t="s">
        <v>104</v>
      </c>
      <c r="B36" s="2" t="s">
        <v>117</v>
      </c>
    </row>
    <row r="37" spans="1:2" x14ac:dyDescent="0.35">
      <c r="A37" s="2"/>
      <c r="B37" s="2"/>
    </row>
    <row r="38" spans="1:2" x14ac:dyDescent="0.35">
      <c r="A38" s="2"/>
      <c r="B38" s="2"/>
    </row>
    <row r="39" spans="1:2" x14ac:dyDescent="0.35">
      <c r="A39" s="2"/>
      <c r="B39" s="2"/>
    </row>
    <row r="40" spans="1:2" x14ac:dyDescent="0.35">
      <c r="A40" s="2"/>
      <c r="B40" s="2"/>
    </row>
    <row r="41" spans="1:2" x14ac:dyDescent="0.35">
      <c r="A41" s="2"/>
      <c r="B41" s="2"/>
    </row>
    <row r="42" spans="1:2" x14ac:dyDescent="0.35">
      <c r="A42" s="2"/>
      <c r="B42" s="2"/>
    </row>
    <row r="43" spans="1:2" x14ac:dyDescent="0.35">
      <c r="A43" s="2"/>
      <c r="B43" s="2"/>
    </row>
    <row r="44" spans="1:2" x14ac:dyDescent="0.35">
      <c r="A44" s="2"/>
      <c r="B44" s="2"/>
    </row>
    <row r="45" spans="1:2" x14ac:dyDescent="0.35">
      <c r="A45" s="2"/>
      <c r="B45" s="2"/>
    </row>
    <row r="46" spans="1:2" x14ac:dyDescent="0.35">
      <c r="A46" s="2"/>
      <c r="B46" s="2"/>
    </row>
    <row r="47" spans="1:2" x14ac:dyDescent="0.35">
      <c r="A47" s="2"/>
      <c r="B47" s="2"/>
    </row>
    <row r="48" spans="1:2" x14ac:dyDescent="0.35">
      <c r="A48" s="2"/>
      <c r="B48" s="2"/>
    </row>
    <row r="49" spans="1:2" x14ac:dyDescent="0.35">
      <c r="A49" s="2"/>
      <c r="B49" s="2"/>
    </row>
    <row r="50" spans="1:2" x14ac:dyDescent="0.35">
      <c r="A50" s="2"/>
      <c r="B50" s="2"/>
    </row>
    <row r="51" spans="1:2" x14ac:dyDescent="0.35">
      <c r="A51" s="2"/>
      <c r="B51" s="2"/>
    </row>
    <row r="52" spans="1:2" x14ac:dyDescent="0.35">
      <c r="A52" s="2"/>
      <c r="B52" s="2"/>
    </row>
    <row r="53" spans="1:2" x14ac:dyDescent="0.35">
      <c r="A53" s="2"/>
      <c r="B53" s="2"/>
    </row>
    <row r="54" spans="1:2" x14ac:dyDescent="0.35">
      <c r="A54" s="2"/>
      <c r="B54" s="2"/>
    </row>
    <row r="55" spans="1:2" x14ac:dyDescent="0.35">
      <c r="A55" s="2"/>
      <c r="B55" s="2"/>
    </row>
    <row r="56" spans="1:2" x14ac:dyDescent="0.35">
      <c r="A56" s="2"/>
      <c r="B56" s="2"/>
    </row>
    <row r="57" spans="1:2" x14ac:dyDescent="0.35">
      <c r="A57" s="2"/>
      <c r="B57" s="2"/>
    </row>
    <row r="58" spans="1:2" x14ac:dyDescent="0.35">
      <c r="A58" s="2"/>
      <c r="B58" s="2"/>
    </row>
    <row r="59" spans="1:2" x14ac:dyDescent="0.35">
      <c r="A59" s="2"/>
      <c r="B59" s="2"/>
    </row>
    <row r="60" spans="1:2" x14ac:dyDescent="0.35">
      <c r="A60" s="2"/>
      <c r="B60" s="2"/>
    </row>
    <row r="61" spans="1:2" x14ac:dyDescent="0.35">
      <c r="A61" s="2"/>
      <c r="B61" s="2"/>
    </row>
    <row r="62" spans="1:2" x14ac:dyDescent="0.35">
      <c r="A62" s="2"/>
      <c r="B62" s="2"/>
    </row>
    <row r="63" spans="1:2" x14ac:dyDescent="0.35">
      <c r="A63" s="2"/>
      <c r="B63" s="2"/>
    </row>
    <row r="64" spans="1:2" x14ac:dyDescent="0.35">
      <c r="A64" s="2"/>
      <c r="B64" s="2"/>
    </row>
    <row r="65" spans="1:2" x14ac:dyDescent="0.35">
      <c r="A65" s="2"/>
      <c r="B65" s="2"/>
    </row>
    <row r="66" spans="1:2" x14ac:dyDescent="0.35">
      <c r="A66" s="2"/>
      <c r="B66" s="2"/>
    </row>
    <row r="67" spans="1:2" x14ac:dyDescent="0.35">
      <c r="A67" s="2"/>
      <c r="B67" s="2"/>
    </row>
    <row r="68" spans="1:2" x14ac:dyDescent="0.35">
      <c r="A68" s="2"/>
      <c r="B68" s="2"/>
    </row>
    <row r="69" spans="1:2" x14ac:dyDescent="0.35">
      <c r="A69" s="2"/>
      <c r="B69" s="2"/>
    </row>
    <row r="70" spans="1:2" x14ac:dyDescent="0.35">
      <c r="A70" s="2"/>
      <c r="B70" s="2"/>
    </row>
    <row r="71" spans="1:2" x14ac:dyDescent="0.35">
      <c r="A71" s="2"/>
      <c r="B71" s="2"/>
    </row>
    <row r="72" spans="1:2" x14ac:dyDescent="0.35">
      <c r="A72" s="2"/>
      <c r="B72" s="2"/>
    </row>
    <row r="73" spans="1:2" x14ac:dyDescent="0.35">
      <c r="A73" s="2"/>
      <c r="B73" s="2"/>
    </row>
    <row r="74" spans="1:2" x14ac:dyDescent="0.35">
      <c r="A74" s="2"/>
      <c r="B74" s="2"/>
    </row>
    <row r="75" spans="1:2" x14ac:dyDescent="0.35">
      <c r="A75" s="2"/>
      <c r="B75" s="2"/>
    </row>
    <row r="76" spans="1:2" x14ac:dyDescent="0.35">
      <c r="A76" s="2"/>
      <c r="B76" s="2"/>
    </row>
    <row r="77" spans="1:2" x14ac:dyDescent="0.35">
      <c r="A77" s="2"/>
      <c r="B77" s="2"/>
    </row>
    <row r="78" spans="1:2" x14ac:dyDescent="0.35">
      <c r="A78" s="2"/>
      <c r="B78" s="2"/>
    </row>
    <row r="79" spans="1:2" x14ac:dyDescent="0.35">
      <c r="A79" s="2"/>
      <c r="B79" s="2"/>
    </row>
    <row r="80" spans="1:2" x14ac:dyDescent="0.35">
      <c r="A80" s="2"/>
      <c r="B80" s="2"/>
    </row>
    <row r="81" spans="1:2" x14ac:dyDescent="0.35">
      <c r="A81" s="2"/>
      <c r="B81" s="2"/>
    </row>
    <row r="82" spans="1:2" x14ac:dyDescent="0.35">
      <c r="A82" s="2"/>
      <c r="B82" s="2"/>
    </row>
    <row r="83" spans="1:2" x14ac:dyDescent="0.35">
      <c r="A83" s="2"/>
      <c r="B83" s="2"/>
    </row>
    <row r="84" spans="1:2" x14ac:dyDescent="0.35">
      <c r="A84" s="2"/>
      <c r="B84" s="2"/>
    </row>
    <row r="85" spans="1:2" x14ac:dyDescent="0.35">
      <c r="A85" s="2"/>
      <c r="B85" s="2"/>
    </row>
    <row r="86" spans="1:2" x14ac:dyDescent="0.35">
      <c r="A86" s="2"/>
      <c r="B86" s="2"/>
    </row>
    <row r="87" spans="1:2" x14ac:dyDescent="0.35">
      <c r="A87" s="2"/>
      <c r="B87" s="2"/>
    </row>
    <row r="88" spans="1:2" x14ac:dyDescent="0.35">
      <c r="A88" s="2"/>
      <c r="B88" s="2"/>
    </row>
    <row r="89" spans="1:2" x14ac:dyDescent="0.35">
      <c r="A89" s="2"/>
      <c r="B89" s="2"/>
    </row>
    <row r="90" spans="1:2" x14ac:dyDescent="0.35">
      <c r="A90" s="2"/>
      <c r="B90" s="2"/>
    </row>
    <row r="91" spans="1:2" x14ac:dyDescent="0.35">
      <c r="A91" s="2"/>
      <c r="B91" s="2"/>
    </row>
    <row r="92" spans="1:2" x14ac:dyDescent="0.35">
      <c r="A92" s="2"/>
      <c r="B92" s="2"/>
    </row>
    <row r="93" spans="1:2" x14ac:dyDescent="0.35">
      <c r="A93" s="2"/>
      <c r="B93" s="2"/>
    </row>
    <row r="94" spans="1:2" x14ac:dyDescent="0.35">
      <c r="A94" s="2"/>
      <c r="B94" s="2"/>
    </row>
    <row r="95" spans="1:2" x14ac:dyDescent="0.35">
      <c r="A95" s="2"/>
      <c r="B95" s="2"/>
    </row>
    <row r="96" spans="1:2" x14ac:dyDescent="0.35">
      <c r="A96" s="2"/>
      <c r="B96" s="2"/>
    </row>
    <row r="97" spans="1:2" x14ac:dyDescent="0.35">
      <c r="A97" s="2"/>
      <c r="B97" s="2"/>
    </row>
    <row r="98" spans="1:2" x14ac:dyDescent="0.35">
      <c r="A98" s="2"/>
      <c r="B98" s="2"/>
    </row>
    <row r="99" spans="1:2" x14ac:dyDescent="0.35">
      <c r="A99" s="2"/>
      <c r="B99" s="2"/>
    </row>
    <row r="100" spans="1:2" x14ac:dyDescent="0.35">
      <c r="A100" s="2"/>
      <c r="B100" s="2"/>
    </row>
    <row r="101" spans="1:2" x14ac:dyDescent="0.35">
      <c r="A101" s="2"/>
      <c r="B101" s="2"/>
    </row>
    <row r="102" spans="1:2" x14ac:dyDescent="0.35">
      <c r="A102" s="2"/>
      <c r="B102" s="2"/>
    </row>
    <row r="103" spans="1:2" x14ac:dyDescent="0.35">
      <c r="A103" s="2"/>
      <c r="B103" s="2"/>
    </row>
    <row r="104" spans="1:2" x14ac:dyDescent="0.35">
      <c r="A104" s="2"/>
      <c r="B104" s="2"/>
    </row>
    <row r="105" spans="1:2" x14ac:dyDescent="0.35">
      <c r="A105" s="2"/>
      <c r="B105" s="2"/>
    </row>
    <row r="106" spans="1:2" x14ac:dyDescent="0.35">
      <c r="A106" s="2"/>
      <c r="B106" s="2"/>
    </row>
    <row r="107" spans="1:2" x14ac:dyDescent="0.35">
      <c r="A107" s="2"/>
      <c r="B107" s="2"/>
    </row>
    <row r="108" spans="1:2" x14ac:dyDescent="0.35">
      <c r="A108" s="2"/>
      <c r="B108" s="2"/>
    </row>
    <row r="109" spans="1:2" x14ac:dyDescent="0.35">
      <c r="A109" s="2"/>
      <c r="B109" s="2"/>
    </row>
    <row r="110" spans="1:2" x14ac:dyDescent="0.35">
      <c r="A110" s="2"/>
      <c r="B110" s="2"/>
    </row>
    <row r="111" spans="1:2" x14ac:dyDescent="0.35">
      <c r="A111" s="2"/>
      <c r="B111" s="2"/>
    </row>
    <row r="112" spans="1:2" x14ac:dyDescent="0.35">
      <c r="A112" s="2"/>
      <c r="B112" s="2"/>
    </row>
    <row r="113" spans="1:2" x14ac:dyDescent="0.35">
      <c r="A113" s="2"/>
      <c r="B113" s="2"/>
    </row>
    <row r="114" spans="1:2" x14ac:dyDescent="0.35">
      <c r="A114" s="2"/>
      <c r="B114" s="2"/>
    </row>
    <row r="115" spans="1:2" x14ac:dyDescent="0.35">
      <c r="A115" s="2"/>
      <c r="B115" s="2"/>
    </row>
  </sheetData>
  <phoneticPr fontId="2" type="noConversion"/>
  <pageMargins left="0.7" right="0.7" top="0.75" bottom="0.75" header="0.3" footer="0.3"/>
  <pageSetup orientation="portrait" r:id="rId1"/>
  <legacyDrawing r:id="rId2"/>
  <tableParts count="3"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C748476-31BA-4003-B0E6-55612441B82C}">
          <x14:formula1>
            <xm:f>UR!$A$2:$A$13</xm:f>
          </x14:formula1>
          <xm:sqref>A38:A42</xm:sqref>
        </x14:dataValidation>
        <x14:dataValidation type="list" allowBlank="1" showInputMessage="1" showErrorMessage="1" xr:uid="{CD97B30F-C543-4AFF-B80E-A362D732C117}">
          <x14:formula1>
            <xm:f>SR!$A$8:$A$13</xm:f>
          </x14:formula1>
          <xm:sqref>B38:B42</xm:sqref>
        </x14:dataValidation>
        <x14:dataValidation type="list" allowBlank="1" showInputMessage="1" showErrorMessage="1" xr:uid="{2E05BC38-D626-428C-AED1-0B7526A65F77}">
          <x14:formula1>
            <xm:f>UR!$A$2:$A$14</xm:f>
          </x14:formula1>
          <xm:sqref>A2:A37</xm:sqref>
        </x14:dataValidation>
        <x14:dataValidation type="list" allowBlank="1" showInputMessage="1" showErrorMessage="1" xr:uid="{80F874B4-303F-4CB8-A966-3ADCBA8967C8}">
          <x14:formula1>
            <xm:f>SR!$A$2:$A$22</xm:f>
          </x14:formula1>
          <xm:sqref>B2:B37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FAC4-A8BF-4044-997F-D2D58A77CB61}">
  <dimension ref="A1:Y38"/>
  <sheetViews>
    <sheetView zoomScale="70" zoomScaleNormal="70" zoomScaleSheetLayoutView="100" workbookViewId="0">
      <pane xSplit="1" ySplit="1" topLeftCell="B2" activePane="bottomRight" state="frozen"/>
      <selection sqref="A1:D20"/>
      <selection pane="topRight" sqref="A1:D20"/>
      <selection pane="bottomLeft" sqref="A1:D20"/>
      <selection pane="bottomRight" activeCell="W19" sqref="W19"/>
    </sheetView>
  </sheetViews>
  <sheetFormatPr baseColWidth="10" defaultRowHeight="14.5" x14ac:dyDescent="0.35"/>
  <cols>
    <col min="1" max="1" width="5.81640625" bestFit="1" customWidth="1"/>
    <col min="2" max="12" width="3.36328125" bestFit="1" customWidth="1"/>
    <col min="13" max="19" width="3.36328125" customWidth="1"/>
    <col min="20" max="22" width="3.36328125" bestFit="1" customWidth="1"/>
    <col min="23" max="23" width="9.26953125" bestFit="1" customWidth="1"/>
    <col min="24" max="24" width="10.90625" customWidth="1"/>
    <col min="25" max="25" width="209.90625" bestFit="1" customWidth="1"/>
    <col min="100" max="100" width="3.36328125" bestFit="1" customWidth="1"/>
    <col min="103" max="104" width="3.36328125" bestFit="1" customWidth="1"/>
  </cols>
  <sheetData>
    <row r="1" spans="1:25" s="3" customFormat="1" ht="30" x14ac:dyDescent="0.35">
      <c r="A1" s="7"/>
      <c r="B1" s="5" t="str" cm="1">
        <f t="array" ref="B1:V1">TRANSPOSE(Tabla_SR[ID])</f>
        <v>SR-01</v>
      </c>
      <c r="C1" s="5" t="str">
        <v>SR-02</v>
      </c>
      <c r="D1" s="5" t="str">
        <v>SR-03</v>
      </c>
      <c r="E1" s="5" t="str">
        <v>SR-04</v>
      </c>
      <c r="F1" s="5" t="str">
        <v>SR-05</v>
      </c>
      <c r="G1" s="5" t="str">
        <v>SR-06</v>
      </c>
      <c r="H1" s="5" t="str">
        <v>SR-07</v>
      </c>
      <c r="I1" s="5" t="str">
        <v>SR-08</v>
      </c>
      <c r="J1" s="5" t="str">
        <v>SR-09</v>
      </c>
      <c r="K1" s="5" t="str">
        <v>SR-10</v>
      </c>
      <c r="L1" s="5" t="str">
        <v>SR-13</v>
      </c>
      <c r="M1" s="5" t="str">
        <v>SR-14</v>
      </c>
      <c r="N1" s="5" t="str">
        <v>SR-15</v>
      </c>
      <c r="O1" s="5" t="str">
        <v>SR-16</v>
      </c>
      <c r="P1" s="5" t="str">
        <v>SR-17</v>
      </c>
      <c r="Q1" s="5" t="str">
        <v>SR-18</v>
      </c>
      <c r="R1" s="5" t="str">
        <v>SR-19</v>
      </c>
      <c r="S1" s="5" t="str">
        <v>SR-20</v>
      </c>
      <c r="T1" s="5" t="str">
        <v>SR-21</v>
      </c>
      <c r="U1" s="5" t="str">
        <v>SR-22</v>
      </c>
      <c r="V1" s="5" t="str">
        <v>SR-23</v>
      </c>
      <c r="W1" t="s">
        <v>34</v>
      </c>
    </row>
    <row r="2" spans="1:25" x14ac:dyDescent="0.35">
      <c r="A2" s="6" t="str" cm="1">
        <f t="array" ref="A2:A14">Tabla_UR[ID]</f>
        <v>UR-01</v>
      </c>
      <c r="B2" s="4" t="str">
        <f>IF(COUNTIFS(TR!$A:$A,$A2,TR!$B:$B,B$1)&gt;0,"X","")</f>
        <v/>
      </c>
      <c r="C2" s="4" t="str">
        <f>IF(COUNTIFS(TR!$A:$A,$A2,TR!$B:$B,C$1)&gt;0,"X","")</f>
        <v/>
      </c>
      <c r="D2" s="4" t="str">
        <f>IF(COUNTIFS(TR!$A:$A,$A2,TR!$B:$B,D$1)&gt;0,"X","")</f>
        <v/>
      </c>
      <c r="E2" s="4" t="str">
        <f>IF(COUNTIFS(TR!$A:$A,$A2,TR!$B:$B,E$1)&gt;0,"X","")</f>
        <v>X</v>
      </c>
      <c r="F2" s="4" t="str">
        <f>IF(COUNTIFS(TR!$A:$A,$A2,TR!$B:$B,F$1)&gt;0,"X","")</f>
        <v/>
      </c>
      <c r="G2" s="4" t="str">
        <f>IF(COUNTIFS(TR!$A:$A,$A2,TR!$B:$B,G$1)&gt;0,"X","")</f>
        <v>X</v>
      </c>
      <c r="H2" s="4" t="str">
        <f>IF(COUNTIFS(TR!$A:$A,$A2,TR!$B:$B,H$1)&gt;0,"X","")</f>
        <v/>
      </c>
      <c r="I2" s="4" t="str">
        <f>IF(COUNTIFS(TR!$A:$A,$A2,TR!$B:$B,I$1)&gt;0,"X","")</f>
        <v/>
      </c>
      <c r="J2" s="4" t="str">
        <f>IF(COUNTIFS(TR!$A:$A,$A2,TR!$B:$B,J$1)&gt;0,"X","")</f>
        <v/>
      </c>
      <c r="K2" s="4" t="str">
        <f>IF(COUNTIFS(TR!$A:$A,$A2,TR!$B:$B,K$1)&gt;0,"X","")</f>
        <v/>
      </c>
      <c r="L2" s="4" t="str">
        <f>IF(COUNTIFS(TR!$A:$A,$A2,TR!$B:$B,L$1)&gt;0,"X","")</f>
        <v/>
      </c>
      <c r="M2" s="4" t="str">
        <f>IF(COUNTIFS(TR!$A:$A,$A2,TR!$B:$B,M$1)&gt;0,"X","")</f>
        <v/>
      </c>
      <c r="N2" s="4" t="str">
        <f>IF(COUNTIFS(TR!$A:$A,$A2,TR!$B:$B,N$1)&gt;0,"X","")</f>
        <v/>
      </c>
      <c r="O2" s="4" t="str">
        <f>IF(COUNTIFS(TR!$A:$A,$A2,TR!$B:$B,O$1)&gt;0,"X","")</f>
        <v/>
      </c>
      <c r="P2" s="4" t="str">
        <f>IF(COUNTIFS(TR!$A:$A,$A2,TR!$B:$B,P$1)&gt;0,"X","")</f>
        <v/>
      </c>
      <c r="Q2" s="4" t="str">
        <f>IF(COUNTIFS(TR!$A:$A,$A2,TR!$B:$B,Q$1)&gt;0,"X","")</f>
        <v/>
      </c>
      <c r="R2" s="4" t="str">
        <f>IF(COUNTIFS(TR!$A:$A,$A2,TR!$B:$B,R$1)&gt;0,"X","")</f>
        <v/>
      </c>
      <c r="S2" s="4" t="str">
        <f>IF(COUNTIFS(TR!$A:$A,$A2,TR!$B:$B,S$1)&gt;0,"X","")</f>
        <v/>
      </c>
      <c r="T2" s="4" t="str">
        <f>IF(COUNTIFS(TR!$A:$A,$A2,TR!$B:$B,T$1)&gt;0,"X","")</f>
        <v/>
      </c>
      <c r="U2" s="4" t="str">
        <f>IF(COUNTIFS(TR!$A:$A,$A2,TR!$B:$B,U$1)&gt;0,"X","")</f>
        <v/>
      </c>
      <c r="V2" s="4" t="str">
        <f>IF(COUNTIFS(TR!$A:$A,$A2,TR!$B:$B,V$1)&gt;0,"X","")</f>
        <v/>
      </c>
      <c r="W2" t="str">
        <f t="shared" ref="W2:W14" si="0">IF(COUNTIF(B2:V2,"X")=0,"No cubierto","Cubierto")</f>
        <v>Cubierto</v>
      </c>
      <c r="X2" t="str" cm="1">
        <f t="array" ref="X2:X14">Tabla_UR[ID]</f>
        <v>UR-01</v>
      </c>
      <c r="Y2" t="str" cm="1">
        <f t="array" ref="Y2:Y14">Tabla_UR[Descripción del Requerimiento]</f>
        <v>El sistema deberá proveer un servicio Store &amp; Forward satelital, almacenando datos durante su orbita para ser descargados en una estación terrestre.</v>
      </c>
    </row>
    <row r="3" spans="1:25" x14ac:dyDescent="0.35">
      <c r="A3" s="6" t="str">
        <v>UR-02</v>
      </c>
      <c r="B3" s="4" t="str">
        <f>IF(COUNTIFS(TR!$A:$A,$A3,TR!$B:$B,B$1)&gt;0,"X","")</f>
        <v/>
      </c>
      <c r="C3" s="4" t="str">
        <f>IF(COUNTIFS(TR!$A:$A,$A3,TR!$B:$B,C$1)&gt;0,"X","")</f>
        <v/>
      </c>
      <c r="D3" s="4" t="str">
        <f>IF(COUNTIFS(TR!$A:$A,$A3,TR!$B:$B,D$1)&gt;0,"X","")</f>
        <v>X</v>
      </c>
      <c r="E3" s="4" t="str">
        <f>IF(COUNTIFS(TR!$A:$A,$A3,TR!$B:$B,E$1)&gt;0,"X","")</f>
        <v/>
      </c>
      <c r="F3" s="4" t="str">
        <f>IF(COUNTIFS(TR!$A:$A,$A3,TR!$B:$B,F$1)&gt;0,"X","")</f>
        <v/>
      </c>
      <c r="G3" s="4" t="str">
        <f>IF(COUNTIFS(TR!$A:$A,$A3,TR!$B:$B,G$1)&gt;0,"X","")</f>
        <v/>
      </c>
      <c r="H3" s="4" t="str">
        <f>IF(COUNTIFS(TR!$A:$A,$A3,TR!$B:$B,H$1)&gt;0,"X","")</f>
        <v>X</v>
      </c>
      <c r="I3" s="4" t="str">
        <f>IF(COUNTIFS(TR!$A:$A,$A3,TR!$B:$B,I$1)&gt;0,"X","")</f>
        <v/>
      </c>
      <c r="J3" s="4" t="str">
        <f>IF(COUNTIFS(TR!$A:$A,$A3,TR!$B:$B,J$1)&gt;0,"X","")</f>
        <v/>
      </c>
      <c r="K3" s="4" t="str">
        <f>IF(COUNTIFS(TR!$A:$A,$A3,TR!$B:$B,K$1)&gt;0,"X","")</f>
        <v/>
      </c>
      <c r="L3" s="4" t="str">
        <f>IF(COUNTIFS(TR!$A:$A,$A3,TR!$B:$B,L$1)&gt;0,"X","")</f>
        <v/>
      </c>
      <c r="M3" s="4" t="str">
        <f>IF(COUNTIFS(TR!$A:$A,$A3,TR!$B:$B,M$1)&gt;0,"X","")</f>
        <v/>
      </c>
      <c r="N3" s="4" t="str">
        <f>IF(COUNTIFS(TR!$A:$A,$A3,TR!$B:$B,N$1)&gt;0,"X","")</f>
        <v/>
      </c>
      <c r="O3" s="4" t="str">
        <f>IF(COUNTIFS(TR!$A:$A,$A3,TR!$B:$B,O$1)&gt;0,"X","")</f>
        <v/>
      </c>
      <c r="P3" s="4" t="str">
        <f>IF(COUNTIFS(TR!$A:$A,$A3,TR!$B:$B,P$1)&gt;0,"X","")</f>
        <v/>
      </c>
      <c r="Q3" s="4" t="str">
        <f>IF(COUNTIFS(TR!$A:$A,$A3,TR!$B:$B,Q$1)&gt;0,"X","")</f>
        <v/>
      </c>
      <c r="R3" s="4" t="str">
        <f>IF(COUNTIFS(TR!$A:$A,$A3,TR!$B:$B,R$1)&gt;0,"X","")</f>
        <v/>
      </c>
      <c r="S3" s="4" t="str">
        <f>IF(COUNTIFS(TR!$A:$A,$A3,TR!$B:$B,S$1)&gt;0,"X","")</f>
        <v/>
      </c>
      <c r="T3" s="4" t="str">
        <f>IF(COUNTIFS(TR!$A:$A,$A3,TR!$B:$B,T$1)&gt;0,"X","")</f>
        <v/>
      </c>
      <c r="U3" s="4" t="str">
        <f>IF(COUNTIFS(TR!$A:$A,$A3,TR!$B:$B,U$1)&gt;0,"X","")</f>
        <v/>
      </c>
      <c r="V3" s="4" t="str">
        <f>IF(COUNTIFS(TR!$A:$A,$A3,TR!$B:$B,V$1)&gt;0,"X","")</f>
        <v/>
      </c>
      <c r="W3" t="str">
        <f t="shared" si="0"/>
        <v>Cubierto</v>
      </c>
      <c r="X3" t="str">
        <v>UR-02</v>
      </c>
      <c r="Y3" t="str">
        <v>El sistema deberá soportar un enlace downlink desde el satélite hacia estaciones terrenas en territorio chileno.</v>
      </c>
    </row>
    <row r="4" spans="1:25" x14ac:dyDescent="0.35">
      <c r="A4" s="6" t="str">
        <v>UR-03</v>
      </c>
      <c r="B4" s="4" t="str">
        <f>IF(COUNTIFS(TR!$A:$A,$A4,TR!$B:$B,B$1)&gt;0,"X","")</f>
        <v/>
      </c>
      <c r="C4" s="4" t="str">
        <f>IF(COUNTIFS(TR!$A:$A,$A4,TR!$B:$B,C$1)&gt;0,"X","")</f>
        <v>X</v>
      </c>
      <c r="D4" s="4" t="str">
        <f>IF(COUNTIFS(TR!$A:$A,$A4,TR!$B:$B,D$1)&gt;0,"X","")</f>
        <v>X</v>
      </c>
      <c r="E4" s="4" t="str">
        <f>IF(COUNTIFS(TR!$A:$A,$A4,TR!$B:$B,E$1)&gt;0,"X","")</f>
        <v/>
      </c>
      <c r="F4" s="4" t="str">
        <f>IF(COUNTIFS(TR!$A:$A,$A4,TR!$B:$B,F$1)&gt;0,"X","")</f>
        <v/>
      </c>
      <c r="G4" s="4" t="str">
        <f>IF(COUNTIFS(TR!$A:$A,$A4,TR!$B:$B,G$1)&gt;0,"X","")</f>
        <v/>
      </c>
      <c r="H4" s="4" t="str">
        <f>IF(COUNTIFS(TR!$A:$A,$A4,TR!$B:$B,H$1)&gt;0,"X","")</f>
        <v/>
      </c>
      <c r="I4" s="4" t="str">
        <f>IF(COUNTIFS(TR!$A:$A,$A4,TR!$B:$B,I$1)&gt;0,"X","")</f>
        <v/>
      </c>
      <c r="J4" s="4" t="str">
        <f>IF(COUNTIFS(TR!$A:$A,$A4,TR!$B:$B,J$1)&gt;0,"X","")</f>
        <v/>
      </c>
      <c r="K4" s="4" t="str">
        <f>IF(COUNTIFS(TR!$A:$A,$A4,TR!$B:$B,K$1)&gt;0,"X","")</f>
        <v/>
      </c>
      <c r="L4" s="4" t="str">
        <f>IF(COUNTIFS(TR!$A:$A,$A4,TR!$B:$B,L$1)&gt;0,"X","")</f>
        <v/>
      </c>
      <c r="M4" s="4" t="str">
        <f>IF(COUNTIFS(TR!$A:$A,$A4,TR!$B:$B,M$1)&gt;0,"X","")</f>
        <v/>
      </c>
      <c r="N4" s="4" t="str">
        <f>IF(COUNTIFS(TR!$A:$A,$A4,TR!$B:$B,N$1)&gt;0,"X","")</f>
        <v/>
      </c>
      <c r="O4" s="4" t="str">
        <f>IF(COUNTIFS(TR!$A:$A,$A4,TR!$B:$B,O$1)&gt;0,"X","")</f>
        <v/>
      </c>
      <c r="P4" s="4" t="str">
        <f>IF(COUNTIFS(TR!$A:$A,$A4,TR!$B:$B,P$1)&gt;0,"X","")</f>
        <v/>
      </c>
      <c r="Q4" s="4" t="str">
        <f>IF(COUNTIFS(TR!$A:$A,$A4,TR!$B:$B,Q$1)&gt;0,"X","")</f>
        <v/>
      </c>
      <c r="R4" s="4" t="str">
        <f>IF(COUNTIFS(TR!$A:$A,$A4,TR!$B:$B,R$1)&gt;0,"X","")</f>
        <v/>
      </c>
      <c r="S4" s="4" t="str">
        <f>IF(COUNTIFS(TR!$A:$A,$A4,TR!$B:$B,S$1)&gt;0,"X","")</f>
        <v/>
      </c>
      <c r="T4" s="4" t="str">
        <f>IF(COUNTIFS(TR!$A:$A,$A4,TR!$B:$B,T$1)&gt;0,"X","")</f>
        <v/>
      </c>
      <c r="U4" s="4" t="str">
        <f>IF(COUNTIFS(TR!$A:$A,$A4,TR!$B:$B,U$1)&gt;0,"X","")</f>
        <v/>
      </c>
      <c r="V4" s="4" t="str">
        <f>IF(COUNTIFS(TR!$A:$A,$A4,TR!$B:$B,V$1)&gt;0,"X","")</f>
        <v/>
      </c>
      <c r="W4" t="str">
        <f t="shared" si="0"/>
        <v>Cubierto</v>
      </c>
      <c r="X4" t="str">
        <v>UR-03</v>
      </c>
      <c r="Y4" t="str">
        <v>El sistema deberá soportar un enlace uplink desde estaciones remotas de monitoreo meteorológico, sismológico y/o vulcanológico hacia el satélite para la recolección de datos.</v>
      </c>
    </row>
    <row r="5" spans="1:25" x14ac:dyDescent="0.35">
      <c r="A5" s="6" t="str">
        <v>UR-04</v>
      </c>
      <c r="B5" s="4" t="str">
        <f>IF(COUNTIFS(TR!$A:$A,$A5,TR!$B:$B,B$1)&gt;0,"X","")</f>
        <v>X</v>
      </c>
      <c r="C5" s="4" t="str">
        <f>IF(COUNTIFS(TR!$A:$A,$A5,TR!$B:$B,C$1)&gt;0,"X","")</f>
        <v>X</v>
      </c>
      <c r="D5" s="4" t="str">
        <f>IF(COUNTIFS(TR!$A:$A,$A5,TR!$B:$B,D$1)&gt;0,"X","")</f>
        <v>X</v>
      </c>
      <c r="E5" s="4" t="str">
        <f>IF(COUNTIFS(TR!$A:$A,$A5,TR!$B:$B,E$1)&gt;0,"X","")</f>
        <v/>
      </c>
      <c r="F5" s="4" t="str">
        <f>IF(COUNTIFS(TR!$A:$A,$A5,TR!$B:$B,F$1)&gt;0,"X","")</f>
        <v/>
      </c>
      <c r="G5" s="4" t="str">
        <f>IF(COUNTIFS(TR!$A:$A,$A5,TR!$B:$B,G$1)&gt;0,"X","")</f>
        <v/>
      </c>
      <c r="H5" s="4" t="str">
        <f>IF(COUNTIFS(TR!$A:$A,$A5,TR!$B:$B,H$1)&gt;0,"X","")</f>
        <v/>
      </c>
      <c r="I5" s="4" t="str">
        <f>IF(COUNTIFS(TR!$A:$A,$A5,TR!$B:$B,I$1)&gt;0,"X","")</f>
        <v/>
      </c>
      <c r="J5" s="4" t="str">
        <f>IF(COUNTIFS(TR!$A:$A,$A5,TR!$B:$B,J$1)&gt;0,"X","")</f>
        <v/>
      </c>
      <c r="K5" s="4" t="str">
        <f>IF(COUNTIFS(TR!$A:$A,$A5,TR!$B:$B,K$1)&gt;0,"X","")</f>
        <v/>
      </c>
      <c r="L5" s="4" t="str">
        <f>IF(COUNTIFS(TR!$A:$A,$A5,TR!$B:$B,L$1)&gt;0,"X","")</f>
        <v/>
      </c>
      <c r="M5" s="4" t="str">
        <f>IF(COUNTIFS(TR!$A:$A,$A5,TR!$B:$B,M$1)&gt;0,"X","")</f>
        <v/>
      </c>
      <c r="N5" s="4" t="str">
        <f>IF(COUNTIFS(TR!$A:$A,$A5,TR!$B:$B,N$1)&gt;0,"X","")</f>
        <v/>
      </c>
      <c r="O5" s="4" t="str">
        <f>IF(COUNTIFS(TR!$A:$A,$A5,TR!$B:$B,O$1)&gt;0,"X","")</f>
        <v/>
      </c>
      <c r="P5" s="4" t="str">
        <f>IF(COUNTIFS(TR!$A:$A,$A5,TR!$B:$B,P$1)&gt;0,"X","")</f>
        <v/>
      </c>
      <c r="Q5" s="4" t="str">
        <f>IF(COUNTIFS(TR!$A:$A,$A5,TR!$B:$B,Q$1)&gt;0,"X","")</f>
        <v/>
      </c>
      <c r="R5" s="4" t="str">
        <f>IF(COUNTIFS(TR!$A:$A,$A5,TR!$B:$B,R$1)&gt;0,"X","")</f>
        <v/>
      </c>
      <c r="S5" s="4" t="str">
        <f>IF(COUNTIFS(TR!$A:$A,$A5,TR!$B:$B,S$1)&gt;0,"X","")</f>
        <v/>
      </c>
      <c r="T5" s="4" t="str">
        <f>IF(COUNTIFS(TR!$A:$A,$A5,TR!$B:$B,T$1)&gt;0,"X","")</f>
        <v/>
      </c>
      <c r="U5" s="4" t="str">
        <f>IF(COUNTIFS(TR!$A:$A,$A5,TR!$B:$B,U$1)&gt;0,"X","")</f>
        <v/>
      </c>
      <c r="V5" s="4" t="str">
        <f>IF(COUNTIFS(TR!$A:$A,$A5,TR!$B:$B,V$1)&gt;0,"X","")</f>
        <v/>
      </c>
      <c r="W5" t="str">
        <f t="shared" si="0"/>
        <v>Cubierto</v>
      </c>
      <c r="X5" t="str">
        <v>UR-04</v>
      </c>
      <c r="Y5" t="str">
        <v>El sistema deberá ser compatible con el estándar internacional para recolección de datos ambientales por satélite utilizado por estaciones remotas autónomas de meteorología, sismología, vulcanología, etc.</v>
      </c>
    </row>
    <row r="6" spans="1:25" x14ac:dyDescent="0.35">
      <c r="A6" s="6" t="str">
        <v>UR-05</v>
      </c>
      <c r="B6" s="4" t="str">
        <f>IF(COUNTIFS(TR!$A:$A,$A6,TR!$B:$B,B$1)&gt;0,"X","")</f>
        <v/>
      </c>
      <c r="C6" s="4" t="str">
        <f>IF(COUNTIFS(TR!$A:$A,$A6,TR!$B:$B,C$1)&gt;0,"X","")</f>
        <v/>
      </c>
      <c r="D6" s="4" t="str">
        <f>IF(COUNTIFS(TR!$A:$A,$A6,TR!$B:$B,D$1)&gt;0,"X","")</f>
        <v/>
      </c>
      <c r="E6" s="4" t="str">
        <f>IF(COUNTIFS(TR!$A:$A,$A6,TR!$B:$B,E$1)&gt;0,"X","")</f>
        <v>X</v>
      </c>
      <c r="F6" s="4" t="str">
        <f>IF(COUNTIFS(TR!$A:$A,$A6,TR!$B:$B,F$1)&gt;0,"X","")</f>
        <v>X</v>
      </c>
      <c r="G6" s="4" t="str">
        <f>IF(COUNTIFS(TR!$A:$A,$A6,TR!$B:$B,G$1)&gt;0,"X","")</f>
        <v/>
      </c>
      <c r="H6" s="4" t="str">
        <f>IF(COUNTIFS(TR!$A:$A,$A6,TR!$B:$B,H$1)&gt;0,"X","")</f>
        <v/>
      </c>
      <c r="I6" s="4" t="str">
        <f>IF(COUNTIFS(TR!$A:$A,$A6,TR!$B:$B,I$1)&gt;0,"X","")</f>
        <v>X</v>
      </c>
      <c r="J6" s="4" t="str">
        <f>IF(COUNTIFS(TR!$A:$A,$A6,TR!$B:$B,J$1)&gt;0,"X","")</f>
        <v/>
      </c>
      <c r="K6" s="4" t="str">
        <f>IF(COUNTIFS(TR!$A:$A,$A6,TR!$B:$B,K$1)&gt;0,"X","")</f>
        <v>X</v>
      </c>
      <c r="L6" s="4" t="str">
        <f>IF(COUNTIFS(TR!$A:$A,$A6,TR!$B:$B,L$1)&gt;0,"X","")</f>
        <v/>
      </c>
      <c r="M6" s="4" t="str">
        <f>IF(COUNTIFS(TR!$A:$A,$A6,TR!$B:$B,M$1)&gt;0,"X","")</f>
        <v/>
      </c>
      <c r="N6" s="4" t="str">
        <f>IF(COUNTIFS(TR!$A:$A,$A6,TR!$B:$B,N$1)&gt;0,"X","")</f>
        <v/>
      </c>
      <c r="O6" s="4" t="str">
        <f>IF(COUNTIFS(TR!$A:$A,$A6,TR!$B:$B,O$1)&gt;0,"X","")</f>
        <v/>
      </c>
      <c r="P6" s="4" t="str">
        <f>IF(COUNTIFS(TR!$A:$A,$A6,TR!$B:$B,P$1)&gt;0,"X","")</f>
        <v/>
      </c>
      <c r="Q6" s="4" t="str">
        <f>IF(COUNTIFS(TR!$A:$A,$A6,TR!$B:$B,Q$1)&gt;0,"X","")</f>
        <v/>
      </c>
      <c r="R6" s="4" t="str">
        <f>IF(COUNTIFS(TR!$A:$A,$A6,TR!$B:$B,R$1)&gt;0,"X","")</f>
        <v/>
      </c>
      <c r="S6" s="4" t="str">
        <f>IF(COUNTIFS(TR!$A:$A,$A6,TR!$B:$B,S$1)&gt;0,"X","")</f>
        <v/>
      </c>
      <c r="T6" s="4" t="str">
        <f>IF(COUNTIFS(TR!$A:$A,$A6,TR!$B:$B,T$1)&gt;0,"X","")</f>
        <v/>
      </c>
      <c r="U6" s="4" t="str">
        <f>IF(COUNTIFS(TR!$A:$A,$A6,TR!$B:$B,U$1)&gt;0,"X","")</f>
        <v/>
      </c>
      <c r="V6" s="4" t="str">
        <f>IF(COUNTIFS(TR!$A:$A,$A6,TR!$B:$B,V$1)&gt;0,"X","")</f>
        <v/>
      </c>
      <c r="W6" t="str">
        <f t="shared" si="0"/>
        <v>Cubierto</v>
      </c>
      <c r="X6" t="str">
        <v>UR-05</v>
      </c>
      <c r="Y6" t="str">
        <v>El sistema deberá asegurar la integridad de los datos durante su recepción, almacenamiento y transmisión.</v>
      </c>
    </row>
    <row r="7" spans="1:25" x14ac:dyDescent="0.35">
      <c r="A7" s="6" t="str">
        <v>UR-06</v>
      </c>
      <c r="B7" s="4" t="str">
        <f>IF(COUNTIFS(TR!$A:$A,$A7,TR!$B:$B,B$1)&gt;0,"X","")</f>
        <v/>
      </c>
      <c r="C7" s="4" t="str">
        <f>IF(COUNTIFS(TR!$A:$A,$A7,TR!$B:$B,C$1)&gt;0,"X","")</f>
        <v/>
      </c>
      <c r="D7" s="4" t="str">
        <f>IF(COUNTIFS(TR!$A:$A,$A7,TR!$B:$B,D$1)&gt;0,"X","")</f>
        <v/>
      </c>
      <c r="E7" s="4" t="str">
        <f>IF(COUNTIFS(TR!$A:$A,$A7,TR!$B:$B,E$1)&gt;0,"X","")</f>
        <v/>
      </c>
      <c r="F7" s="4" t="str">
        <f>IF(COUNTIFS(TR!$A:$A,$A7,TR!$B:$B,F$1)&gt;0,"X","")</f>
        <v/>
      </c>
      <c r="G7" s="4" t="str">
        <f>IF(COUNTIFS(TR!$A:$A,$A7,TR!$B:$B,G$1)&gt;0,"X","")</f>
        <v/>
      </c>
      <c r="H7" s="4" t="str">
        <f>IF(COUNTIFS(TR!$A:$A,$A7,TR!$B:$B,H$1)&gt;0,"X","")</f>
        <v/>
      </c>
      <c r="I7" s="4" t="str">
        <f>IF(COUNTIFS(TR!$A:$A,$A7,TR!$B:$B,I$1)&gt;0,"X","")</f>
        <v/>
      </c>
      <c r="J7" s="4" t="str">
        <f>IF(COUNTIFS(TR!$A:$A,$A7,TR!$B:$B,J$1)&gt;0,"X","")</f>
        <v/>
      </c>
      <c r="K7" s="4" t="str">
        <f>IF(COUNTIFS(TR!$A:$A,$A7,TR!$B:$B,K$1)&gt;0,"X","")</f>
        <v/>
      </c>
      <c r="L7" s="4" t="str">
        <f>IF(COUNTIFS(TR!$A:$A,$A7,TR!$B:$B,L$1)&gt;0,"X","")</f>
        <v>X</v>
      </c>
      <c r="M7" s="4" t="str">
        <f>IF(COUNTIFS(TR!$A:$A,$A7,TR!$B:$B,M$1)&gt;0,"X","")</f>
        <v>X</v>
      </c>
      <c r="N7" s="4" t="str">
        <f>IF(COUNTIFS(TR!$A:$A,$A7,TR!$B:$B,N$1)&gt;0,"X","")</f>
        <v>X</v>
      </c>
      <c r="O7" s="4" t="str">
        <f>IF(COUNTIFS(TR!$A:$A,$A7,TR!$B:$B,O$1)&gt;0,"X","")</f>
        <v>X</v>
      </c>
      <c r="P7" s="4" t="str">
        <f>IF(COUNTIFS(TR!$A:$A,$A7,TR!$B:$B,P$1)&gt;0,"X","")</f>
        <v/>
      </c>
      <c r="Q7" s="4" t="str">
        <f>IF(COUNTIFS(TR!$A:$A,$A7,TR!$B:$B,Q$1)&gt;0,"X","")</f>
        <v/>
      </c>
      <c r="R7" s="4" t="str">
        <f>IF(COUNTIFS(TR!$A:$A,$A7,TR!$B:$B,R$1)&gt;0,"X","")</f>
        <v>X</v>
      </c>
      <c r="S7" s="4" t="str">
        <f>IF(COUNTIFS(TR!$A:$A,$A7,TR!$B:$B,S$1)&gt;0,"X","")</f>
        <v>X</v>
      </c>
      <c r="T7" s="4" t="str">
        <f>IF(COUNTIFS(TR!$A:$A,$A7,TR!$B:$B,T$1)&gt;0,"X","")</f>
        <v/>
      </c>
      <c r="U7" s="4" t="str">
        <f>IF(COUNTIFS(TR!$A:$A,$A7,TR!$B:$B,U$1)&gt;0,"X","")</f>
        <v/>
      </c>
      <c r="V7" s="4" t="str">
        <f>IF(COUNTIFS(TR!$A:$A,$A7,TR!$B:$B,V$1)&gt;0,"X","")</f>
        <v/>
      </c>
      <c r="W7" t="str">
        <f t="shared" si="0"/>
        <v>Cubierto</v>
      </c>
      <c r="X7" t="str">
        <v>UR-06</v>
      </c>
      <c r="Y7" t="str">
        <v>El sistema deberá ser compatible con plataforma CubeSat 12U en órbita terrestre baja (LEO) sol síncrona a una altitud nominal aproximada de 650 km con una inclinación de 96°.</v>
      </c>
    </row>
    <row r="8" spans="1:25" x14ac:dyDescent="0.35">
      <c r="A8" s="6" t="str">
        <v>UR-07</v>
      </c>
      <c r="B8" s="4" t="str">
        <f>IF(COUNTIFS(TR!$A:$A,$A8,TR!$B:$B,B$1)&gt;0,"X","")</f>
        <v/>
      </c>
      <c r="C8" s="4" t="str">
        <f>IF(COUNTIFS(TR!$A:$A,$A8,TR!$B:$B,C$1)&gt;0,"X","")</f>
        <v/>
      </c>
      <c r="D8" s="4" t="str">
        <f>IF(COUNTIFS(TR!$A:$A,$A8,TR!$B:$B,D$1)&gt;0,"X","")</f>
        <v/>
      </c>
      <c r="E8" s="4" t="str">
        <f>IF(COUNTIFS(TR!$A:$A,$A8,TR!$B:$B,E$1)&gt;0,"X","")</f>
        <v/>
      </c>
      <c r="F8" s="4" t="str">
        <f>IF(COUNTIFS(TR!$A:$A,$A8,TR!$B:$B,F$1)&gt;0,"X","")</f>
        <v/>
      </c>
      <c r="G8" s="4" t="str">
        <f>IF(COUNTIFS(TR!$A:$A,$A8,TR!$B:$B,G$1)&gt;0,"X","")</f>
        <v/>
      </c>
      <c r="H8" s="4" t="str">
        <f>IF(COUNTIFS(TR!$A:$A,$A8,TR!$B:$B,H$1)&gt;0,"X","")</f>
        <v/>
      </c>
      <c r="I8" s="4" t="str">
        <f>IF(COUNTIFS(TR!$A:$A,$A8,TR!$B:$B,I$1)&gt;0,"X","")</f>
        <v/>
      </c>
      <c r="J8" s="4" t="str">
        <f>IF(COUNTIFS(TR!$A:$A,$A8,TR!$B:$B,J$1)&gt;0,"X","")</f>
        <v>X</v>
      </c>
      <c r="K8" s="4" t="str">
        <f>IF(COUNTIFS(TR!$A:$A,$A8,TR!$B:$B,K$1)&gt;0,"X","")</f>
        <v>X</v>
      </c>
      <c r="L8" s="4" t="str">
        <f>IF(COUNTIFS(TR!$A:$A,$A8,TR!$B:$B,L$1)&gt;0,"X","")</f>
        <v/>
      </c>
      <c r="M8" s="4" t="str">
        <f>IF(COUNTIFS(TR!$A:$A,$A8,TR!$B:$B,M$1)&gt;0,"X","")</f>
        <v/>
      </c>
      <c r="N8" s="4" t="str">
        <f>IF(COUNTIFS(TR!$A:$A,$A8,TR!$B:$B,N$1)&gt;0,"X","")</f>
        <v/>
      </c>
      <c r="O8" s="4" t="str">
        <f>IF(COUNTIFS(TR!$A:$A,$A8,TR!$B:$B,O$1)&gt;0,"X","")</f>
        <v/>
      </c>
      <c r="P8" s="4" t="str">
        <f>IF(COUNTIFS(TR!$A:$A,$A8,TR!$B:$B,P$1)&gt;0,"X","")</f>
        <v/>
      </c>
      <c r="Q8" s="4" t="str">
        <f>IF(COUNTIFS(TR!$A:$A,$A8,TR!$B:$B,Q$1)&gt;0,"X","")</f>
        <v/>
      </c>
      <c r="R8" s="4" t="str">
        <f>IF(COUNTIFS(TR!$A:$A,$A8,TR!$B:$B,R$1)&gt;0,"X","")</f>
        <v/>
      </c>
      <c r="S8" s="4" t="str">
        <f>IF(COUNTIFS(TR!$A:$A,$A8,TR!$B:$B,S$1)&gt;0,"X","")</f>
        <v/>
      </c>
      <c r="T8" s="4" t="str">
        <f>IF(COUNTIFS(TR!$A:$A,$A8,TR!$B:$B,T$1)&gt;0,"X","")</f>
        <v/>
      </c>
      <c r="U8" s="4" t="str">
        <f>IF(COUNTIFS(TR!$A:$A,$A8,TR!$B:$B,U$1)&gt;0,"X","")</f>
        <v/>
      </c>
      <c r="V8" s="4" t="str">
        <f>IF(COUNTIFS(TR!$A:$A,$A8,TR!$B:$B,V$1)&gt;0,"X","")</f>
        <v/>
      </c>
      <c r="W8" t="str">
        <f t="shared" si="0"/>
        <v>Cubierto</v>
      </c>
      <c r="X8" t="str">
        <v>UR-07</v>
      </c>
      <c r="Y8" t="str">
        <v>El sistema deberá cubrir el territorio chileno continental, zonas extremas, territorio insular y territorio antártico.</v>
      </c>
    </row>
    <row r="9" spans="1:25" x14ac:dyDescent="0.35">
      <c r="A9" s="6" t="str">
        <v>UR-08</v>
      </c>
      <c r="B9" s="4" t="str">
        <f>IF(COUNTIFS(TR!$A:$A,$A9,TR!$B:$B,B$1)&gt;0,"X","")</f>
        <v/>
      </c>
      <c r="C9" s="4" t="str">
        <f>IF(COUNTIFS(TR!$A:$A,$A9,TR!$B:$B,C$1)&gt;0,"X","")</f>
        <v/>
      </c>
      <c r="D9" s="4" t="str">
        <f>IF(COUNTIFS(TR!$A:$A,$A9,TR!$B:$B,D$1)&gt;0,"X","")</f>
        <v/>
      </c>
      <c r="E9" s="4" t="str">
        <f>IF(COUNTIFS(TR!$A:$A,$A9,TR!$B:$B,E$1)&gt;0,"X","")</f>
        <v/>
      </c>
      <c r="F9" s="4" t="str">
        <f>IF(COUNTIFS(TR!$A:$A,$A9,TR!$B:$B,F$1)&gt;0,"X","")</f>
        <v/>
      </c>
      <c r="G9" s="4" t="str">
        <f>IF(COUNTIFS(TR!$A:$A,$A9,TR!$B:$B,G$1)&gt;0,"X","")</f>
        <v/>
      </c>
      <c r="H9" s="4" t="str">
        <f>IF(COUNTIFS(TR!$A:$A,$A9,TR!$B:$B,H$1)&gt;0,"X","")</f>
        <v/>
      </c>
      <c r="I9" s="4" t="str">
        <f>IF(COUNTIFS(TR!$A:$A,$A9,TR!$B:$B,I$1)&gt;0,"X","")</f>
        <v/>
      </c>
      <c r="J9" s="4" t="str">
        <f>IF(COUNTIFS(TR!$A:$A,$A9,TR!$B:$B,J$1)&gt;0,"X","")</f>
        <v/>
      </c>
      <c r="K9" s="4" t="str">
        <f>IF(COUNTIFS(TR!$A:$A,$A9,TR!$B:$B,K$1)&gt;0,"X","")</f>
        <v/>
      </c>
      <c r="L9" s="4" t="str">
        <f>IF(COUNTIFS(TR!$A:$A,$A9,TR!$B:$B,L$1)&gt;0,"X","")</f>
        <v/>
      </c>
      <c r="M9" s="4" t="str">
        <f>IF(COUNTIFS(TR!$A:$A,$A9,TR!$B:$B,M$1)&gt;0,"X","")</f>
        <v/>
      </c>
      <c r="N9" s="4" t="str">
        <f>IF(COUNTIFS(TR!$A:$A,$A9,TR!$B:$B,N$1)&gt;0,"X","")</f>
        <v/>
      </c>
      <c r="O9" s="4" t="str">
        <f>IF(COUNTIFS(TR!$A:$A,$A9,TR!$B:$B,O$1)&gt;0,"X","")</f>
        <v>X</v>
      </c>
      <c r="P9" s="4" t="str">
        <f>IF(COUNTIFS(TR!$A:$A,$A9,TR!$B:$B,P$1)&gt;0,"X","")</f>
        <v>X</v>
      </c>
      <c r="Q9" s="4" t="str">
        <f>IF(COUNTIFS(TR!$A:$A,$A9,TR!$B:$B,Q$1)&gt;0,"X","")</f>
        <v>X</v>
      </c>
      <c r="R9" s="4" t="str">
        <f>IF(COUNTIFS(TR!$A:$A,$A9,TR!$B:$B,R$1)&gt;0,"X","")</f>
        <v/>
      </c>
      <c r="S9" s="4" t="str">
        <f>IF(COUNTIFS(TR!$A:$A,$A9,TR!$B:$B,S$1)&gt;0,"X","")</f>
        <v/>
      </c>
      <c r="T9" s="4" t="str">
        <f>IF(COUNTIFS(TR!$A:$A,$A9,TR!$B:$B,T$1)&gt;0,"X","")</f>
        <v>X</v>
      </c>
      <c r="U9" s="4" t="str">
        <f>IF(COUNTIFS(TR!$A:$A,$A9,TR!$B:$B,U$1)&gt;0,"X","")</f>
        <v/>
      </c>
      <c r="V9" s="4" t="str">
        <f>IF(COUNTIFS(TR!$A:$A,$A9,TR!$B:$B,V$1)&gt;0,"X","")</f>
        <v>X</v>
      </c>
      <c r="W9" t="str">
        <f t="shared" si="0"/>
        <v>Cubierto</v>
      </c>
      <c r="X9" t="str">
        <v>UR-08</v>
      </c>
      <c r="Y9" t="str">
        <v>El sistema deberá permitir el uso de componentes COTS siempre que cumplan con: (a) funcionamiento en órbita probada, (b) tolerancia a la radiación verificada, o (c) mitigaciones de diseño que reduzcan el riesgo a un nivel aceptable para la misión.</v>
      </c>
    </row>
    <row r="10" spans="1:25" x14ac:dyDescent="0.35">
      <c r="A10" s="6" t="str">
        <v>UR-09</v>
      </c>
      <c r="B10" s="4" t="str">
        <f>IF(COUNTIFS(TR!$A:$A,$A10,TR!$B:$B,B$1)&gt;0,"X","")</f>
        <v/>
      </c>
      <c r="C10" s="4" t="str">
        <f>IF(COUNTIFS(TR!$A:$A,$A10,TR!$B:$B,C$1)&gt;0,"X","")</f>
        <v/>
      </c>
      <c r="D10" s="4" t="str">
        <f>IF(COUNTIFS(TR!$A:$A,$A10,TR!$B:$B,D$1)&gt;0,"X","")</f>
        <v/>
      </c>
      <c r="E10" s="4" t="str">
        <f>IF(COUNTIFS(TR!$A:$A,$A10,TR!$B:$B,E$1)&gt;0,"X","")</f>
        <v/>
      </c>
      <c r="F10" s="4" t="str">
        <f>IF(COUNTIFS(TR!$A:$A,$A10,TR!$B:$B,F$1)&gt;0,"X","")</f>
        <v/>
      </c>
      <c r="G10" s="4" t="str">
        <f>IF(COUNTIFS(TR!$A:$A,$A10,TR!$B:$B,G$1)&gt;0,"X","")</f>
        <v/>
      </c>
      <c r="H10" s="4" t="str">
        <f>IF(COUNTIFS(TR!$A:$A,$A10,TR!$B:$B,H$1)&gt;0,"X","")</f>
        <v/>
      </c>
      <c r="I10" s="4" t="str">
        <f>IF(COUNTIFS(TR!$A:$A,$A10,TR!$B:$B,I$1)&gt;0,"X","")</f>
        <v/>
      </c>
      <c r="J10" s="4" t="str">
        <f>IF(COUNTIFS(TR!$A:$A,$A10,TR!$B:$B,J$1)&gt;0,"X","")</f>
        <v/>
      </c>
      <c r="K10" s="4" t="str">
        <f>IF(COUNTIFS(TR!$A:$A,$A10,TR!$B:$B,K$1)&gt;0,"X","")</f>
        <v/>
      </c>
      <c r="L10" s="4" t="str">
        <f>IF(COUNTIFS(TR!$A:$A,$A10,TR!$B:$B,L$1)&gt;0,"X","")</f>
        <v/>
      </c>
      <c r="M10" s="4" t="str">
        <f>IF(COUNTIFS(TR!$A:$A,$A10,TR!$B:$B,M$1)&gt;0,"X","")</f>
        <v/>
      </c>
      <c r="N10" s="4" t="str">
        <f>IF(COUNTIFS(TR!$A:$A,$A10,TR!$B:$B,N$1)&gt;0,"X","")</f>
        <v/>
      </c>
      <c r="O10" s="4" t="str">
        <f>IF(COUNTIFS(TR!$A:$A,$A10,TR!$B:$B,O$1)&gt;0,"X","")</f>
        <v/>
      </c>
      <c r="P10" s="4" t="str">
        <f>IF(COUNTIFS(TR!$A:$A,$A10,TR!$B:$B,P$1)&gt;0,"X","")</f>
        <v>X</v>
      </c>
      <c r="Q10" s="4" t="str">
        <f>IF(COUNTIFS(TR!$A:$A,$A10,TR!$B:$B,Q$1)&gt;0,"X","")</f>
        <v/>
      </c>
      <c r="R10" s="4" t="str">
        <f>IF(COUNTIFS(TR!$A:$A,$A10,TR!$B:$B,R$1)&gt;0,"X","")</f>
        <v/>
      </c>
      <c r="S10" s="4" t="str">
        <f>IF(COUNTIFS(TR!$A:$A,$A10,TR!$B:$B,S$1)&gt;0,"X","")</f>
        <v/>
      </c>
      <c r="T10" s="4" t="str">
        <f>IF(COUNTIFS(TR!$A:$A,$A10,TR!$B:$B,T$1)&gt;0,"X","")</f>
        <v/>
      </c>
      <c r="U10" s="4" t="str">
        <f>IF(COUNTIFS(TR!$A:$A,$A10,TR!$B:$B,U$1)&gt;0,"X","")</f>
        <v/>
      </c>
      <c r="V10" s="4" t="str">
        <f>IF(COUNTIFS(TR!$A:$A,$A10,TR!$B:$B,V$1)&gt;0,"X","")</f>
        <v/>
      </c>
      <c r="W10" t="str">
        <f t="shared" si="0"/>
        <v>Cubierto</v>
      </c>
      <c r="X10" t="str">
        <v>UR-09</v>
      </c>
      <c r="Y10" t="str">
        <v>El sistema deberá ser de carácter experimental, con proyección a futuras aplicaciones comerciales.</v>
      </c>
    </row>
    <row r="11" spans="1:25" x14ac:dyDescent="0.35">
      <c r="A11" s="6" t="str">
        <v>UR-10</v>
      </c>
      <c r="B11" s="4" t="str">
        <f>IF(COUNTIFS(TR!$A:$A,$A11,TR!$B:$B,B$1)&gt;0,"X","")</f>
        <v/>
      </c>
      <c r="C11" s="4" t="str">
        <f>IF(COUNTIFS(TR!$A:$A,$A11,TR!$B:$B,C$1)&gt;0,"X","")</f>
        <v/>
      </c>
      <c r="D11" s="4" t="str">
        <f>IF(COUNTIFS(TR!$A:$A,$A11,TR!$B:$B,D$1)&gt;0,"X","")</f>
        <v/>
      </c>
      <c r="E11" s="4" t="str">
        <f>IF(COUNTIFS(TR!$A:$A,$A11,TR!$B:$B,E$1)&gt;0,"X","")</f>
        <v/>
      </c>
      <c r="F11" s="4" t="str">
        <f>IF(COUNTIFS(TR!$A:$A,$A11,TR!$B:$B,F$1)&gt;0,"X","")</f>
        <v/>
      </c>
      <c r="G11" s="4" t="str">
        <f>IF(COUNTIFS(TR!$A:$A,$A11,TR!$B:$B,G$1)&gt;0,"X","")</f>
        <v/>
      </c>
      <c r="H11" s="4" t="str">
        <f>IF(COUNTIFS(TR!$A:$A,$A11,TR!$B:$B,H$1)&gt;0,"X","")</f>
        <v/>
      </c>
      <c r="I11" s="4" t="str">
        <f>IF(COUNTIFS(TR!$A:$A,$A11,TR!$B:$B,I$1)&gt;0,"X","")</f>
        <v/>
      </c>
      <c r="J11" s="4" t="str">
        <f>IF(COUNTIFS(TR!$A:$A,$A11,TR!$B:$B,J$1)&gt;0,"X","")</f>
        <v/>
      </c>
      <c r="K11" s="4" t="str">
        <f>IF(COUNTIFS(TR!$A:$A,$A11,TR!$B:$B,K$1)&gt;0,"X","")</f>
        <v/>
      </c>
      <c r="L11" s="4" t="str">
        <f>IF(COUNTIFS(TR!$A:$A,$A11,TR!$B:$B,L$1)&gt;0,"X","")</f>
        <v/>
      </c>
      <c r="M11" s="4" t="str">
        <f>IF(COUNTIFS(TR!$A:$A,$A11,TR!$B:$B,M$1)&gt;0,"X","")</f>
        <v/>
      </c>
      <c r="N11" s="4" t="str">
        <f>IF(COUNTIFS(TR!$A:$A,$A11,TR!$B:$B,N$1)&gt;0,"X","")</f>
        <v/>
      </c>
      <c r="O11" s="4" t="str">
        <f>IF(COUNTIFS(TR!$A:$A,$A11,TR!$B:$B,O$1)&gt;0,"X","")</f>
        <v/>
      </c>
      <c r="P11" s="4" t="str">
        <f>IF(COUNTIFS(TR!$A:$A,$A11,TR!$B:$B,P$1)&gt;0,"X","")</f>
        <v>X</v>
      </c>
      <c r="Q11" s="4" t="str">
        <f>IF(COUNTIFS(TR!$A:$A,$A11,TR!$B:$B,Q$1)&gt;0,"X","")</f>
        <v/>
      </c>
      <c r="R11" s="4" t="str">
        <f>IF(COUNTIFS(TR!$A:$A,$A11,TR!$B:$B,R$1)&gt;0,"X","")</f>
        <v/>
      </c>
      <c r="S11" s="4" t="str">
        <f>IF(COUNTIFS(TR!$A:$A,$A11,TR!$B:$B,S$1)&gt;0,"X","")</f>
        <v/>
      </c>
      <c r="T11" s="4" t="str">
        <f>IF(COUNTIFS(TR!$A:$A,$A11,TR!$B:$B,T$1)&gt;0,"X","")</f>
        <v/>
      </c>
      <c r="U11" s="4" t="str">
        <f>IF(COUNTIFS(TR!$A:$A,$A11,TR!$B:$B,U$1)&gt;0,"X","")</f>
        <v/>
      </c>
      <c r="V11" s="4" t="str">
        <f>IF(COUNTIFS(TR!$A:$A,$A11,TR!$B:$B,V$1)&gt;0,"X","")</f>
        <v/>
      </c>
      <c r="W11" t="str">
        <f t="shared" si="0"/>
        <v>Cubierto</v>
      </c>
      <c r="X11" t="str">
        <v>UR-10</v>
      </c>
      <c r="Y11" t="str">
        <v>El sistema deberá presentar una arquitectura modular, reutilizable y escalable.</v>
      </c>
    </row>
    <row r="12" spans="1:25" x14ac:dyDescent="0.35">
      <c r="A12" s="6" t="str">
        <v>UR-11</v>
      </c>
      <c r="B12" s="4" t="str">
        <f>IF(COUNTIFS(TR!$A:$A,$A12,TR!$B:$B,B$1)&gt;0,"X","")</f>
        <v/>
      </c>
      <c r="C12" s="4" t="str">
        <f>IF(COUNTIFS(TR!$A:$A,$A12,TR!$B:$B,C$1)&gt;0,"X","")</f>
        <v/>
      </c>
      <c r="D12" s="4" t="str">
        <f>IF(COUNTIFS(TR!$A:$A,$A12,TR!$B:$B,D$1)&gt;0,"X","")</f>
        <v/>
      </c>
      <c r="E12" s="4" t="str">
        <f>IF(COUNTIFS(TR!$A:$A,$A12,TR!$B:$B,E$1)&gt;0,"X","")</f>
        <v/>
      </c>
      <c r="F12" s="4" t="str">
        <f>IF(COUNTIFS(TR!$A:$A,$A12,TR!$B:$B,F$1)&gt;0,"X","")</f>
        <v/>
      </c>
      <c r="G12" s="4" t="str">
        <f>IF(COUNTIFS(TR!$A:$A,$A12,TR!$B:$B,G$1)&gt;0,"X","")</f>
        <v/>
      </c>
      <c r="H12" s="4" t="str">
        <f>IF(COUNTIFS(TR!$A:$A,$A12,TR!$B:$B,H$1)&gt;0,"X","")</f>
        <v/>
      </c>
      <c r="I12" s="4" t="str">
        <f>IF(COUNTIFS(TR!$A:$A,$A12,TR!$B:$B,I$1)&gt;0,"X","")</f>
        <v/>
      </c>
      <c r="J12" s="4" t="str">
        <f>IF(COUNTIFS(TR!$A:$A,$A12,TR!$B:$B,J$1)&gt;0,"X","")</f>
        <v/>
      </c>
      <c r="K12" s="4" t="str">
        <f>IF(COUNTIFS(TR!$A:$A,$A12,TR!$B:$B,K$1)&gt;0,"X","")</f>
        <v/>
      </c>
      <c r="L12" s="4" t="str">
        <f>IF(COUNTIFS(TR!$A:$A,$A12,TR!$B:$B,L$1)&gt;0,"X","")</f>
        <v/>
      </c>
      <c r="M12" s="4" t="str">
        <f>IF(COUNTIFS(TR!$A:$A,$A12,TR!$B:$B,M$1)&gt;0,"X","")</f>
        <v/>
      </c>
      <c r="N12" s="4" t="str">
        <f>IF(COUNTIFS(TR!$A:$A,$A12,TR!$B:$B,N$1)&gt;0,"X","")</f>
        <v/>
      </c>
      <c r="O12" s="4" t="str">
        <f>IF(COUNTIFS(TR!$A:$A,$A12,TR!$B:$B,O$1)&gt;0,"X","")</f>
        <v/>
      </c>
      <c r="P12" s="4" t="str">
        <f>IF(COUNTIFS(TR!$A:$A,$A12,TR!$B:$B,P$1)&gt;0,"X","")</f>
        <v>X</v>
      </c>
      <c r="Q12" s="4" t="str">
        <f>IF(COUNTIFS(TR!$A:$A,$A12,TR!$B:$B,Q$1)&gt;0,"X","")</f>
        <v>X</v>
      </c>
      <c r="R12" s="4" t="str">
        <f>IF(COUNTIFS(TR!$A:$A,$A12,TR!$B:$B,R$1)&gt;0,"X","")</f>
        <v/>
      </c>
      <c r="S12" s="4" t="str">
        <f>IF(COUNTIFS(TR!$A:$A,$A12,TR!$B:$B,S$1)&gt;0,"X","")</f>
        <v/>
      </c>
      <c r="T12" s="4" t="str">
        <f>IF(COUNTIFS(TR!$A:$A,$A12,TR!$B:$B,T$1)&gt;0,"X","")</f>
        <v>X</v>
      </c>
      <c r="U12" s="4" t="str">
        <f>IF(COUNTIFS(TR!$A:$A,$A12,TR!$B:$B,U$1)&gt;0,"X","")</f>
        <v/>
      </c>
      <c r="V12" s="4" t="str">
        <f>IF(COUNTIFS(TR!$A:$A,$A12,TR!$B:$B,V$1)&gt;0,"X","")</f>
        <v>X</v>
      </c>
      <c r="W12" t="str">
        <f t="shared" si="0"/>
        <v>Cubierto</v>
      </c>
      <c r="X12" t="str">
        <v>UR-11</v>
      </c>
      <c r="Y12" t="str">
        <v>El sistema debe garantizar una vida útil operativa mínima de 5 años en el entorno de radiación LEO definido.</v>
      </c>
    </row>
    <row r="13" spans="1:25" x14ac:dyDescent="0.35">
      <c r="A13" s="6" t="str">
        <v>UR-12</v>
      </c>
      <c r="B13" s="4" t="str">
        <f>IF(COUNTIFS(TR!$A:$A,$A13,TR!$B:$B,B$1)&gt;0,"X","")</f>
        <v/>
      </c>
      <c r="C13" s="4" t="str">
        <f>IF(COUNTIFS(TR!$A:$A,$A13,TR!$B:$B,C$1)&gt;0,"X","")</f>
        <v/>
      </c>
      <c r="D13" s="4" t="str">
        <f>IF(COUNTIFS(TR!$A:$A,$A13,TR!$B:$B,D$1)&gt;0,"X","")</f>
        <v/>
      </c>
      <c r="E13" s="4" t="str">
        <f>IF(COUNTIFS(TR!$A:$A,$A13,TR!$B:$B,E$1)&gt;0,"X","")</f>
        <v/>
      </c>
      <c r="F13" s="4" t="str">
        <f>IF(COUNTIFS(TR!$A:$A,$A13,TR!$B:$B,F$1)&gt;0,"X","")</f>
        <v/>
      </c>
      <c r="G13" s="4" t="str">
        <f>IF(COUNTIFS(TR!$A:$A,$A13,TR!$B:$B,G$1)&gt;0,"X","")</f>
        <v/>
      </c>
      <c r="H13" s="4" t="str">
        <f>IF(COUNTIFS(TR!$A:$A,$A13,TR!$B:$B,H$1)&gt;0,"X","")</f>
        <v/>
      </c>
      <c r="I13" s="4" t="str">
        <f>IF(COUNTIFS(TR!$A:$A,$A13,TR!$B:$B,I$1)&gt;0,"X","")</f>
        <v/>
      </c>
      <c r="J13" s="4" t="str">
        <f>IF(COUNTIFS(TR!$A:$A,$A13,TR!$B:$B,J$1)&gt;0,"X","")</f>
        <v/>
      </c>
      <c r="K13" s="4" t="str">
        <f>IF(COUNTIFS(TR!$A:$A,$A13,TR!$B:$B,K$1)&gt;0,"X","")</f>
        <v/>
      </c>
      <c r="L13" s="4" t="str">
        <f>IF(COUNTIFS(TR!$A:$A,$A13,TR!$B:$B,L$1)&gt;0,"X","")</f>
        <v/>
      </c>
      <c r="M13" s="4" t="str">
        <f>IF(COUNTIFS(TR!$A:$A,$A13,TR!$B:$B,M$1)&gt;0,"X","")</f>
        <v/>
      </c>
      <c r="N13" s="4" t="str">
        <f>IF(COUNTIFS(TR!$A:$A,$A13,TR!$B:$B,N$1)&gt;0,"X","")</f>
        <v/>
      </c>
      <c r="O13" s="4" t="str">
        <f>IF(COUNTIFS(TR!$A:$A,$A13,TR!$B:$B,O$1)&gt;0,"X","")</f>
        <v/>
      </c>
      <c r="P13" s="4" t="str">
        <f>IF(COUNTIFS(TR!$A:$A,$A13,TR!$B:$B,P$1)&gt;0,"X","")</f>
        <v/>
      </c>
      <c r="Q13" s="4" t="str">
        <f>IF(COUNTIFS(TR!$A:$A,$A13,TR!$B:$B,Q$1)&gt;0,"X","")</f>
        <v>X</v>
      </c>
      <c r="R13" s="4" t="str">
        <f>IF(COUNTIFS(TR!$A:$A,$A13,TR!$B:$B,R$1)&gt;0,"X","")</f>
        <v/>
      </c>
      <c r="S13" s="4" t="str">
        <f>IF(COUNTIFS(TR!$A:$A,$A13,TR!$B:$B,S$1)&gt;0,"X","")</f>
        <v/>
      </c>
      <c r="T13" s="4" t="str">
        <f>IF(COUNTIFS(TR!$A:$A,$A13,TR!$B:$B,T$1)&gt;0,"X","")</f>
        <v/>
      </c>
      <c r="U13" s="4" t="str">
        <f>IF(COUNTIFS(TR!$A:$A,$A13,TR!$B:$B,U$1)&gt;0,"X","")</f>
        <v/>
      </c>
      <c r="V13" s="4" t="str">
        <f>IF(COUNTIFS(TR!$A:$A,$A13,TR!$B:$B,V$1)&gt;0,"X","")</f>
        <v/>
      </c>
      <c r="W13" t="str">
        <f t="shared" si="0"/>
        <v>Cubierto</v>
      </c>
      <c r="X13" t="str">
        <v>UR-12</v>
      </c>
      <c r="Y13" t="str">
        <v>El sistema debe ser validado mediante pruebas funcionales en tierra y demostración en órbita.</v>
      </c>
    </row>
    <row r="14" spans="1:25" x14ac:dyDescent="0.35">
      <c r="A14" s="6" t="str">
        <v>UR-13</v>
      </c>
      <c r="B14" s="4" t="str">
        <f>IF(COUNTIFS(TR!$A:$A,$A14,TR!$B:$B,B$1)&gt;0,"X","")</f>
        <v/>
      </c>
      <c r="C14" s="4" t="str">
        <f>IF(COUNTIFS(TR!$A:$A,$A14,TR!$B:$B,C$1)&gt;0,"X","")</f>
        <v/>
      </c>
      <c r="D14" s="4" t="str">
        <f>IF(COUNTIFS(TR!$A:$A,$A14,TR!$B:$B,D$1)&gt;0,"X","")</f>
        <v/>
      </c>
      <c r="E14" s="4" t="str">
        <f>IF(COUNTIFS(TR!$A:$A,$A14,TR!$B:$B,E$1)&gt;0,"X","")</f>
        <v/>
      </c>
      <c r="F14" s="4" t="str">
        <f>IF(COUNTIFS(TR!$A:$A,$A14,TR!$B:$B,F$1)&gt;0,"X","")</f>
        <v/>
      </c>
      <c r="G14" s="4" t="str">
        <f>IF(COUNTIFS(TR!$A:$A,$A14,TR!$B:$B,G$1)&gt;0,"X","")</f>
        <v/>
      </c>
      <c r="H14" s="4" t="str">
        <f>IF(COUNTIFS(TR!$A:$A,$A14,TR!$B:$B,H$1)&gt;0,"X","")</f>
        <v/>
      </c>
      <c r="I14" s="4" t="str">
        <f>IF(COUNTIFS(TR!$A:$A,$A14,TR!$B:$B,I$1)&gt;0,"X","")</f>
        <v/>
      </c>
      <c r="J14" s="4" t="str">
        <f>IF(COUNTIFS(TR!$A:$A,$A14,TR!$B:$B,J$1)&gt;0,"X","")</f>
        <v/>
      </c>
      <c r="K14" s="4" t="str">
        <f>IF(COUNTIFS(TR!$A:$A,$A14,TR!$B:$B,K$1)&gt;0,"X","")</f>
        <v/>
      </c>
      <c r="L14" s="4" t="str">
        <f>IF(COUNTIFS(TR!$A:$A,$A14,TR!$B:$B,L$1)&gt;0,"X","")</f>
        <v/>
      </c>
      <c r="M14" s="4" t="str">
        <f>IF(COUNTIFS(TR!$A:$A,$A14,TR!$B:$B,M$1)&gt;0,"X","")</f>
        <v/>
      </c>
      <c r="N14" s="4" t="str">
        <f>IF(COUNTIFS(TR!$A:$A,$A14,TR!$B:$B,N$1)&gt;0,"X","")</f>
        <v/>
      </c>
      <c r="O14" s="4" t="str">
        <f>IF(COUNTIFS(TR!$A:$A,$A14,TR!$B:$B,O$1)&gt;0,"X","")</f>
        <v/>
      </c>
      <c r="P14" s="4" t="str">
        <f>IF(COUNTIFS(TR!$A:$A,$A14,TR!$B:$B,P$1)&gt;0,"X","")</f>
        <v/>
      </c>
      <c r="Q14" s="4" t="str">
        <f>IF(COUNTIFS(TR!$A:$A,$A14,TR!$B:$B,Q$1)&gt;0,"X","")</f>
        <v/>
      </c>
      <c r="R14" s="4" t="str">
        <f>IF(COUNTIFS(TR!$A:$A,$A14,TR!$B:$B,R$1)&gt;0,"X","")</f>
        <v>X</v>
      </c>
      <c r="S14" s="4" t="str">
        <f>IF(COUNTIFS(TR!$A:$A,$A14,TR!$B:$B,S$1)&gt;0,"X","")</f>
        <v/>
      </c>
      <c r="T14" s="4" t="str">
        <f>IF(COUNTIFS(TR!$A:$A,$A14,TR!$B:$B,T$1)&gt;0,"X","")</f>
        <v/>
      </c>
      <c r="U14" s="4" t="str">
        <f>IF(COUNTIFS(TR!$A:$A,$A14,TR!$B:$B,U$1)&gt;0,"X","")</f>
        <v>X</v>
      </c>
      <c r="V14" s="4" t="str">
        <f>IF(COUNTIFS(TR!$A:$A,$A14,TR!$B:$B,V$1)&gt;0,"X","")</f>
        <v/>
      </c>
      <c r="W14" t="str">
        <f t="shared" si="0"/>
        <v>Cubierto</v>
      </c>
      <c r="X14" t="str">
        <v>UR-13</v>
      </c>
      <c r="Y14" t="str">
        <v>El sistema deberá ser compatible con el sistema de separación del lanzador seleccionado EXOpod 12U, cumpliendo con las restricciones geométricas, mecánicas y de seguridad.</v>
      </c>
    </row>
    <row r="15" spans="1:25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8" spans="24:25" x14ac:dyDescent="0.35">
      <c r="X18" t="str" cm="1">
        <f t="array" ref="X18:X38">Tabla_SR[ID]</f>
        <v>SR-01</v>
      </c>
      <c r="Y18" t="str" cm="1">
        <f t="array" ref="Y18:Y38">Tabla_SR[Descripción del Requerimiento]</f>
        <v>El sistema deberá permitir la recepción de paquetes de datos con una tamaño desde 32 a 256 bits, con una tasa de datos de 400 bps.</v>
      </c>
    </row>
    <row r="19" spans="24:25" x14ac:dyDescent="0.35">
      <c r="X19" t="str">
        <v>SR-02</v>
      </c>
      <c r="Y19" t="str">
        <v>El sistema deberá operar como receptor en el rango de frecuencias 401 - 403 MHz utilizado por estaciones remotas, con una polarización circular derecha y un ancho de haz de 130° HPBW.</v>
      </c>
    </row>
    <row r="20" spans="24:25" x14ac:dyDescent="0.35">
      <c r="X20" t="str">
        <v>SR-03</v>
      </c>
      <c r="Y20" t="str">
        <v>El sistema deberá ser compatible con la estructura de datos enviado por las estaciones remotas , incluyendo modulación, canalización y protocolos, además de las variaciones en frecuencia por efecto Doppler.</v>
      </c>
    </row>
    <row r="21" spans="24:25" x14ac:dyDescent="0.35">
      <c r="X21" t="str">
        <v>SR-04</v>
      </c>
      <c r="Y21" t="str">
        <v>El sistema deberá almacenar al menos 1.000.000 mensajes de durante un tiempo máximo de 15 órbitas y sin pérdidas hasta establecer contacto con una estación terrestre para la descarga.</v>
      </c>
    </row>
    <row r="22" spans="24:25" x14ac:dyDescent="0.35">
      <c r="X22" t="str">
        <v>SR-05</v>
      </c>
      <c r="Y22" t="str">
        <v>El sistema deberá mantener la asociación temporal de los datos almacenados.</v>
      </c>
    </row>
    <row r="23" spans="24:25" x14ac:dyDescent="0.35">
      <c r="X23" t="str">
        <v>SR-06</v>
      </c>
      <c r="Y23" t="str">
        <v>El sistema deberá permitir la descarga de al menos 10.000 mensajes almacenados hacia estaciones terrestres cuando exista conectividad disponible.</v>
      </c>
    </row>
    <row r="24" spans="24:25" x14ac:dyDescent="0.35">
      <c r="X24" t="str">
        <v>SR-07</v>
      </c>
      <c r="Y24" t="str">
        <v>El sistema deberá entregar los datos al subsistema de comunicaciones de la plataforma (Transponder Banda S) para el enlace downlink.</v>
      </c>
    </row>
    <row r="25" spans="24:25" x14ac:dyDescent="0.35">
      <c r="X25" t="str">
        <v>SR-08</v>
      </c>
      <c r="Y25" t="str">
        <v>El sistema deberá comunicarse con el OBC del CubeSat 12U mediante el bus definido por la plataforma (CANBUS), gestionando una tasa de transferencia de datos compatible y reportando periódicamente su estado operativo.</v>
      </c>
    </row>
    <row r="26" spans="24:25" x14ac:dyDescent="0.35">
      <c r="X26" t="str">
        <v>SR-09</v>
      </c>
      <c r="Y26" t="str">
        <v>El sistema deberá operar bajo el control del OBC, escuchando activamente en las zonas definidas por la misión y transmitiendo únicamente cuando sea ordenado.</v>
      </c>
    </row>
    <row r="27" spans="24:25" x14ac:dyDescent="0.35">
      <c r="X27" t="str">
        <v>SR-10</v>
      </c>
      <c r="Y27" t="str">
        <v>El sistema deberá implementar mecanismos de integridad de datos en todas las etapas, con un error de bit menor a 0.01% y control de acceso a la descarga de datos por estaciones terrestres.</v>
      </c>
    </row>
    <row r="28" spans="24:25" x14ac:dyDescent="0.35">
      <c r="X28" t="str">
        <v>SR-13</v>
      </c>
      <c r="Y28" t="str">
        <v>El sistema deberá consumir un máximo de 10 W en operación nominal y ser alimentado por el sistema de potencia del satélite de forma continua.</v>
      </c>
    </row>
    <row r="29" spans="24:25" x14ac:dyDescent="0.35">
      <c r="X29" t="str">
        <v>SR-14</v>
      </c>
      <c r="Y29" t="str">
        <v>El sistema deberá tener dimensiones máximas 20 cm x 20 cm x 10 cm.</v>
      </c>
    </row>
    <row r="30" spans="24:25" x14ac:dyDescent="0.35">
      <c r="X30" t="str">
        <v>SR-15</v>
      </c>
      <c r="Y30" t="str">
        <v xml:space="preserve"> El sistema deberá tener una masa máxima de 3.0 kg y mantener su Centro de Gravedad (CoG) a ±2 mm del centro geométrico, el cual coincide con el eje logitudinal geométrico del satélite.</v>
      </c>
    </row>
    <row r="31" spans="24:25" x14ac:dyDescent="0.35">
      <c r="X31" t="str">
        <v>SR-16</v>
      </c>
      <c r="Y31" t="str">
        <v>El sistema deberá cumplir con requisitos de EMI/EMC compatibles con operación satelital, evitando interferencias internas y externas durante todo el proceso de lanzamiento, despliege y operación.</v>
      </c>
    </row>
    <row r="32" spans="24:25" x14ac:dyDescent="0.35">
      <c r="X32" t="str">
        <v>SR-17</v>
      </c>
      <c r="Y32" t="str">
        <v>El sistema deberá diseñarse de forma modular y permitir la actualización de firmware en vuelo (OTA).</v>
      </c>
    </row>
    <row r="33" spans="24:25" x14ac:dyDescent="0.35">
      <c r="X33" t="str">
        <v>SR-18</v>
      </c>
      <c r="Y33" t="str">
        <v>El sistema deberá certificarse mediante prueba térmo-vacio, mecánicas, EMI y eléctricas en las instalaciones de Centro Espacial Nacional y ser validado en órbita.</v>
      </c>
    </row>
    <row r="34" spans="24:25" x14ac:dyDescent="0.35">
      <c r="X34" t="str">
        <v>SR-19</v>
      </c>
      <c r="Y34" t="str">
        <v>El sistema deberá ser respetar la envolvente interna permita, los volúmen prohibídos y las restricciones sobre protrusiones, mecanismos móviles y bordes activos, asegurando la integración con la plataforma.</v>
      </c>
    </row>
    <row r="35" spans="24:25" x14ac:dyDescent="0.35">
      <c r="X35" t="str">
        <v>SR-20</v>
      </c>
      <c r="Y35" t="str">
        <v>El sistema deberá soportar los ambientes mecánicos de lanzamiento (cargas cuasiestáticas, vibración y shock) definidos por el lanzador y deployer seleccionados.</v>
      </c>
    </row>
    <row r="36" spans="24:25" x14ac:dyDescent="0.35">
      <c r="X36" t="str">
        <v>SR-21</v>
      </c>
      <c r="Y36" t="str">
        <v>El sistema deberá implementar Watchdog Timers externos e independientes para reinicio ante eventos SEU/Latch-up.</v>
      </c>
    </row>
    <row r="37" spans="24:25" x14ac:dyDescent="0.35">
      <c r="X37" t="str">
        <v>SR-22</v>
      </c>
      <c r="Y37" t="str">
        <v>Protección electrónica contra Single Event Latch-up (SEL) mediante limitación de corriente activa.</v>
      </c>
    </row>
    <row r="38" spans="24:25" x14ac:dyDescent="0.35">
      <c r="X38" t="str">
        <v>SR-23</v>
      </c>
      <c r="Y38" t="str">
        <v>Los componentes y materiales no metálicos que uitlice el sistema deberán cumplir con un TML &lt; 1.0% y un CVCM &lt;0.1%</v>
      </c>
    </row>
  </sheetData>
  <conditionalFormatting sqref="B2:V14">
    <cfRule type="expression" dxfId="5" priority="3">
      <formula>B2="X"</formula>
    </cfRule>
  </conditionalFormatting>
  <conditionalFormatting sqref="W2:W14">
    <cfRule type="containsText" dxfId="4" priority="1" operator="containsText" text="No cubierto">
      <formula>NOT(ISERROR(SEARCH("No cubierto",W2)))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501A-3F48-4F39-B5FE-687F1CC758AE}">
  <dimension ref="A1:S24"/>
  <sheetViews>
    <sheetView zoomScale="55" zoomScaleNormal="55" workbookViewId="0">
      <selection activeCell="N22" sqref="N22"/>
    </sheetView>
  </sheetViews>
  <sheetFormatPr baseColWidth="10" defaultRowHeight="14.5" x14ac:dyDescent="0.35"/>
  <cols>
    <col min="1" max="1" width="5.81640625" bestFit="1" customWidth="1"/>
    <col min="2" max="2" width="43.54296875" hidden="1" customWidth="1"/>
    <col min="3" max="3" width="10" bestFit="1" customWidth="1"/>
    <col min="4" max="4" width="16.90625" bestFit="1" customWidth="1"/>
    <col min="5" max="5" width="14.54296875" bestFit="1" customWidth="1"/>
    <col min="6" max="6" width="18.36328125" bestFit="1" customWidth="1"/>
    <col min="7" max="7" width="13.36328125" bestFit="1" customWidth="1"/>
    <col min="8" max="8" width="13.26953125" bestFit="1" customWidth="1"/>
    <col min="9" max="9" width="27.26953125" style="2" customWidth="1"/>
    <col min="11" max="11" width="5.453125" bestFit="1" customWidth="1"/>
    <col min="12" max="12" width="43.81640625" hidden="1" customWidth="1"/>
    <col min="13" max="13" width="10" bestFit="1" customWidth="1"/>
    <col min="14" max="14" width="16.90625" bestFit="1" customWidth="1"/>
    <col min="15" max="15" width="14.54296875" bestFit="1" customWidth="1"/>
    <col min="16" max="16" width="18.36328125" bestFit="1" customWidth="1"/>
    <col min="17" max="17" width="13.36328125" bestFit="1" customWidth="1"/>
    <col min="18" max="18" width="13.26953125" bestFit="1" customWidth="1"/>
    <col min="19" max="19" width="27.1796875" customWidth="1"/>
  </cols>
  <sheetData>
    <row r="1" spans="1:19" x14ac:dyDescent="0.35">
      <c r="A1" t="s">
        <v>0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s="2" t="s">
        <v>84</v>
      </c>
      <c r="K1" t="s">
        <v>0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</row>
    <row r="2" spans="1:19" ht="58" x14ac:dyDescent="0.35">
      <c r="A2" s="9" t="str">
        <f>Tabla_UR[[#This Row],[ID]]</f>
        <v>UR-01</v>
      </c>
      <c r="B2" s="2" t="str">
        <f>Tabla_UR[[#This Row],[Descripción del Requerimiento]]</f>
        <v>El sistema deberá proveer un servicio Store &amp; Forward satelital, almacenando datos durante su orbita para ser descargados en una estación terrestre.</v>
      </c>
      <c r="C2" s="9" t="str">
        <f>Tabla_UR[[#This Row],[Riesgo]]</f>
        <v>Alto</v>
      </c>
      <c r="D2" s="9">
        <v>20</v>
      </c>
      <c r="E2" s="9">
        <f>_xlfn.XLOOKUP(C2, Tabla5[Impacto], Tabla5[Nivel])</f>
        <v>3</v>
      </c>
      <c r="F2" s="9">
        <f t="shared" ref="F2:F13" si="0">IF(D2&lt;=10,1,
 IF(D2&lt;=30,2,3))</f>
        <v>2</v>
      </c>
      <c r="G2" s="9">
        <f>Tabla7[[#This Row],[Nivel Impacto]]*Tabla7[[#This Row],[Nivel Probabilidad]]</f>
        <v>6</v>
      </c>
      <c r="H2" s="9" t="str">
        <f t="shared" ref="H2:H13" si="1">IF(G2&gt;=6,"Alto",
 IF(G2&gt;=3,"Medio","Bajo"))</f>
        <v>Alto</v>
      </c>
      <c r="I2" s="10" t="s">
        <v>94</v>
      </c>
      <c r="K2" s="9" t="str">
        <f>Tabla_SR[[#This Row],[ID]]</f>
        <v>SR-01</v>
      </c>
      <c r="L2" s="10" t="str">
        <f>Tabla_SR[[#This Row],[Descripción del Requerimiento]]</f>
        <v>El sistema deberá permitir la recepción de paquetes de datos con una tamaño desde 32 a 256 bits, con una tasa de datos de 400 bps.</v>
      </c>
      <c r="M2" s="9" t="str">
        <f>Tabla_SR[[#This Row],[Riesgo]]</f>
        <v>Alto</v>
      </c>
      <c r="N2" s="9">
        <v>15</v>
      </c>
      <c r="O2" s="9">
        <f>_xlfn.XLOOKUP(M2, Tabla5[Impacto], Tabla5[Nivel])</f>
        <v>3</v>
      </c>
      <c r="P2" s="9">
        <f t="shared" ref="P2:P19" si="2">IF(N2&lt;=10,1,
 IF(N2&lt;=30,2,3))</f>
        <v>2</v>
      </c>
      <c r="Q2" s="9">
        <f>Tabla710[[#This Row],[Nivel Impacto]]*Tabla710[[#This Row],[Nivel Probabilidad]]</f>
        <v>6</v>
      </c>
      <c r="R2" s="9" t="str">
        <f t="shared" ref="R2:R19" si="3">IF(Q2&gt;=6,"Alto",
 IF(Q2&gt;=3,"Medio","Bajo"))</f>
        <v>Alto</v>
      </c>
      <c r="S2" s="10" t="s">
        <v>91</v>
      </c>
    </row>
    <row r="3" spans="1:19" ht="58" x14ac:dyDescent="0.35">
      <c r="A3" s="9" t="str">
        <f>Tabla_UR[[#This Row],[ID]]</f>
        <v>UR-02</v>
      </c>
      <c r="B3" s="2" t="str">
        <f>Tabla_UR[[#This Row],[Descripción del Requerimiento]]</f>
        <v>El sistema deberá soportar un enlace downlink desde el satélite hacia estaciones terrenas en territorio chileno.</v>
      </c>
      <c r="C3" s="9" t="str">
        <f>Tabla_UR[[#This Row],[Riesgo]]</f>
        <v>Medio</v>
      </c>
      <c r="D3" s="9">
        <v>10</v>
      </c>
      <c r="E3" s="9">
        <f>_xlfn.XLOOKUP(C3, Tabla5[Impacto], Tabla5[Nivel])</f>
        <v>2</v>
      </c>
      <c r="F3" s="9">
        <f t="shared" si="0"/>
        <v>1</v>
      </c>
      <c r="G3" s="9">
        <f>Tabla7[[#This Row],[Nivel Impacto]]*Tabla7[[#This Row],[Nivel Probabilidad]]</f>
        <v>2</v>
      </c>
      <c r="H3" s="9" t="str">
        <f t="shared" si="1"/>
        <v>Bajo</v>
      </c>
      <c r="I3" s="10"/>
      <c r="K3" s="9" t="str">
        <f>Tabla_SR[[#This Row],[ID]]</f>
        <v>SR-02</v>
      </c>
      <c r="L3" s="10" t="str">
        <f>Tabla_SR[[#This Row],[Descripción del Requerimiento]]</f>
        <v>El sistema deberá operar como receptor en el rango de frecuencias 401 - 403 MHz utilizado por estaciones remotas, con una polarización circular derecha y un ancho de haz de 130° HPBW.</v>
      </c>
      <c r="M3" s="9" t="str">
        <f>Tabla_SR[[#This Row],[Riesgo]]</f>
        <v>Alto</v>
      </c>
      <c r="N3" s="9">
        <v>10</v>
      </c>
      <c r="O3" s="9">
        <f>_xlfn.XLOOKUP(M3, Tabla5[Impacto], Tabla5[Nivel])</f>
        <v>3</v>
      </c>
      <c r="P3" s="9">
        <f t="shared" si="2"/>
        <v>1</v>
      </c>
      <c r="Q3" s="9">
        <f>Tabla710[[#This Row],[Nivel Impacto]]*Tabla710[[#This Row],[Nivel Probabilidad]]</f>
        <v>3</v>
      </c>
      <c r="R3" s="9" t="str">
        <f t="shared" si="3"/>
        <v>Medio</v>
      </c>
      <c r="S3" s="10" t="s">
        <v>92</v>
      </c>
    </row>
    <row r="4" spans="1:19" ht="72.5" x14ac:dyDescent="0.35">
      <c r="A4" s="9" t="str">
        <f>Tabla_UR[[#This Row],[ID]]</f>
        <v>UR-03</v>
      </c>
      <c r="B4" s="2" t="str">
        <f>Tabla_UR[[#This Row],[Descripción del Requerimiento]]</f>
        <v>El sistema deberá soportar un enlace uplink desde estaciones remotas de monitoreo meteorológico, sismológico y/o vulcanológico hacia el satélite para la recolección de datos.</v>
      </c>
      <c r="C4" s="9" t="str">
        <f>Tabla_UR[[#This Row],[Riesgo]]</f>
        <v>Medio</v>
      </c>
      <c r="D4" s="9">
        <v>15</v>
      </c>
      <c r="E4" s="9">
        <f>_xlfn.XLOOKUP(C4, Tabla5[Impacto], Tabla5[Nivel])</f>
        <v>2</v>
      </c>
      <c r="F4" s="9">
        <f t="shared" si="0"/>
        <v>2</v>
      </c>
      <c r="G4" s="9">
        <f>Tabla7[[#This Row],[Nivel Impacto]]*Tabla7[[#This Row],[Nivel Probabilidad]]</f>
        <v>4</v>
      </c>
      <c r="H4" s="9" t="str">
        <f t="shared" si="1"/>
        <v>Medio</v>
      </c>
      <c r="I4" s="10" t="s">
        <v>86</v>
      </c>
      <c r="K4" s="9" t="str">
        <f>Tabla_SR[[#This Row],[ID]]</f>
        <v>SR-03</v>
      </c>
      <c r="L4" s="10" t="str">
        <f>Tabla_SR[[#This Row],[Descripción del Requerimiento]]</f>
        <v>El sistema deberá ser compatible con la estructura de datos enviado por las estaciones remotas , incluyendo modulación, canalización y protocolos, además de las variaciones en frecuencia por efecto Doppler.</v>
      </c>
      <c r="M4" s="9" t="str">
        <f>Tabla_SR[[#This Row],[Riesgo]]</f>
        <v>Alto</v>
      </c>
      <c r="N4" s="9">
        <v>25</v>
      </c>
      <c r="O4" s="9">
        <f>_xlfn.XLOOKUP(M4, Tabla5[Impacto], Tabla5[Nivel])</f>
        <v>3</v>
      </c>
      <c r="P4" s="9">
        <f t="shared" si="2"/>
        <v>2</v>
      </c>
      <c r="Q4" s="9">
        <f>Tabla710[[#This Row],[Nivel Impacto]]*Tabla710[[#This Row],[Nivel Probabilidad]]</f>
        <v>6</v>
      </c>
      <c r="R4" s="9" t="str">
        <f t="shared" si="3"/>
        <v>Alto</v>
      </c>
      <c r="S4" s="10" t="s">
        <v>93</v>
      </c>
    </row>
    <row r="5" spans="1:19" ht="72.5" x14ac:dyDescent="0.35">
      <c r="A5" s="9" t="str">
        <f>Tabla_UR[[#This Row],[ID]]</f>
        <v>UR-04</v>
      </c>
      <c r="B5" s="2" t="str">
        <f>Tabla_UR[[#This Row],[Descripción del Requerimiento]]</f>
        <v>El sistema deberá ser compatible con el estándar internacional para recolección de datos ambientales por satélite utilizado por estaciones remotas autónomas de meteorología, sismología, vulcanología, etc.</v>
      </c>
      <c r="C5" s="9" t="str">
        <f>Tabla_UR[[#This Row],[Riesgo]]</f>
        <v>Medio</v>
      </c>
      <c r="D5" s="9">
        <v>20</v>
      </c>
      <c r="E5" s="9">
        <f>_xlfn.XLOOKUP(C5, Tabla5[Impacto], Tabla5[Nivel])</f>
        <v>2</v>
      </c>
      <c r="F5" s="9">
        <f t="shared" si="0"/>
        <v>2</v>
      </c>
      <c r="G5" s="9">
        <f>Tabla7[[#This Row],[Nivel Impacto]]*Tabla7[[#This Row],[Nivel Probabilidad]]</f>
        <v>4</v>
      </c>
      <c r="H5" s="9" t="str">
        <f t="shared" si="1"/>
        <v>Medio</v>
      </c>
      <c r="I5" s="10" t="s">
        <v>88</v>
      </c>
      <c r="K5" s="9" t="str">
        <f>Tabla_SR[[#This Row],[ID]]</f>
        <v>SR-04</v>
      </c>
      <c r="L5" s="10" t="str">
        <f>Tabla_SR[[#This Row],[Descripción del Requerimiento]]</f>
        <v>El sistema deberá almacenar al menos 1.000.000 mensajes de durante un tiempo máximo de 15 órbitas y sin pérdidas hasta establecer contacto con una estación terrestre para la descarga.</v>
      </c>
      <c r="M5" s="9" t="str">
        <f>Tabla_SR[[#This Row],[Riesgo]]</f>
        <v>Medio</v>
      </c>
      <c r="N5" s="9">
        <v>20</v>
      </c>
      <c r="O5" s="9">
        <f>_xlfn.XLOOKUP(M5, Tabla5[Impacto], Tabla5[Nivel])</f>
        <v>2</v>
      </c>
      <c r="P5" s="9">
        <f t="shared" si="2"/>
        <v>2</v>
      </c>
      <c r="Q5" s="9">
        <f>Tabla710[[#This Row],[Nivel Impacto]]*Tabla710[[#This Row],[Nivel Probabilidad]]</f>
        <v>4</v>
      </c>
      <c r="R5" s="9" t="str">
        <f t="shared" si="3"/>
        <v>Medio</v>
      </c>
      <c r="S5" s="10" t="s">
        <v>95</v>
      </c>
    </row>
    <row r="6" spans="1:19" ht="43.5" x14ac:dyDescent="0.35">
      <c r="A6" s="9" t="str">
        <f>Tabla_UR[[#This Row],[ID]]</f>
        <v>UR-05</v>
      </c>
      <c r="B6" s="2" t="str">
        <f>Tabla_UR[[#This Row],[Descripción del Requerimiento]]</f>
        <v>El sistema deberá asegurar la integridad de los datos durante su recepción, almacenamiento y transmisión.</v>
      </c>
      <c r="C6" s="9" t="str">
        <f>Tabla_UR[[#This Row],[Riesgo]]</f>
        <v>Bajo</v>
      </c>
      <c r="D6" s="9">
        <v>10</v>
      </c>
      <c r="E6" s="9">
        <f>_xlfn.XLOOKUP(C6, Tabla5[Impacto], Tabla5[Nivel])</f>
        <v>1</v>
      </c>
      <c r="F6" s="9">
        <f t="shared" si="0"/>
        <v>1</v>
      </c>
      <c r="G6" s="9">
        <f>Tabla7[[#This Row],[Nivel Impacto]]*Tabla7[[#This Row],[Nivel Probabilidad]]</f>
        <v>1</v>
      </c>
      <c r="H6" s="9" t="str">
        <f t="shared" si="1"/>
        <v>Bajo</v>
      </c>
      <c r="I6" s="10"/>
      <c r="K6" s="9" t="str">
        <f>Tabla_SR[[#This Row],[ID]]</f>
        <v>SR-05</v>
      </c>
      <c r="L6" s="10" t="str">
        <f>Tabla_SR[[#This Row],[Descripción del Requerimiento]]</f>
        <v>El sistema deberá mantener la asociación temporal de los datos almacenados.</v>
      </c>
      <c r="M6" s="9" t="str">
        <f>Tabla_SR[[#This Row],[Riesgo]]</f>
        <v>Bajo</v>
      </c>
      <c r="N6" s="9">
        <v>10</v>
      </c>
      <c r="O6" s="9">
        <f>_xlfn.XLOOKUP(M6, Tabla5[Impacto], Tabla5[Nivel])</f>
        <v>1</v>
      </c>
      <c r="P6" s="9">
        <f t="shared" si="2"/>
        <v>1</v>
      </c>
      <c r="Q6" s="9">
        <f>Tabla710[[#This Row],[Nivel Impacto]]*Tabla710[[#This Row],[Nivel Probabilidad]]</f>
        <v>1</v>
      </c>
      <c r="R6" s="9" t="str">
        <f t="shared" si="3"/>
        <v>Bajo</v>
      </c>
      <c r="S6" s="10"/>
    </row>
    <row r="7" spans="1:19" ht="58" x14ac:dyDescent="0.35">
      <c r="A7" s="9" t="str">
        <f>Tabla_UR[[#This Row],[ID]]</f>
        <v>UR-06</v>
      </c>
      <c r="B7" s="2" t="str">
        <f>Tabla_UR[[#This Row],[Descripción del Requerimiento]]</f>
        <v>El sistema deberá ser compatible con plataforma CubeSat 12U en órbita terrestre baja (LEO) sol síncrona a una altitud nominal aproximada de 650 km con una inclinación de 96°.</v>
      </c>
      <c r="C7" s="9" t="str">
        <f>Tabla_UR[[#This Row],[Riesgo]]</f>
        <v>Alto</v>
      </c>
      <c r="D7" s="9">
        <v>15</v>
      </c>
      <c r="E7" s="9">
        <f>_xlfn.XLOOKUP(C7, Tabla5[Impacto], Tabla5[Nivel])</f>
        <v>3</v>
      </c>
      <c r="F7" s="9">
        <f t="shared" si="0"/>
        <v>2</v>
      </c>
      <c r="G7" s="9">
        <f>Tabla7[[#This Row],[Nivel Impacto]]*Tabla7[[#This Row],[Nivel Probabilidad]]</f>
        <v>6</v>
      </c>
      <c r="H7" s="9" t="str">
        <f t="shared" si="1"/>
        <v>Alto</v>
      </c>
      <c r="I7" s="10" t="s">
        <v>87</v>
      </c>
      <c r="K7" s="9" t="str">
        <f>Tabla_SR[[#This Row],[ID]]</f>
        <v>SR-06</v>
      </c>
      <c r="L7" s="10" t="str">
        <f>Tabla_SR[[#This Row],[Descripción del Requerimiento]]</f>
        <v>El sistema deberá permitir la descarga de al menos 10.000 mensajes almacenados hacia estaciones terrestres cuando exista conectividad disponible.</v>
      </c>
      <c r="M7" s="9" t="str">
        <f>Tabla_SR[[#This Row],[Riesgo]]</f>
        <v>Medio</v>
      </c>
      <c r="N7" s="9">
        <v>15</v>
      </c>
      <c r="O7" s="9">
        <f>_xlfn.XLOOKUP(M7, Tabla5[Impacto], Tabla5[Nivel])</f>
        <v>2</v>
      </c>
      <c r="P7" s="9">
        <f t="shared" si="2"/>
        <v>2</v>
      </c>
      <c r="Q7" s="9">
        <f>Tabla710[[#This Row],[Nivel Impacto]]*Tabla710[[#This Row],[Nivel Probabilidad]]</f>
        <v>4</v>
      </c>
      <c r="R7" s="9" t="str">
        <f t="shared" si="3"/>
        <v>Medio</v>
      </c>
      <c r="S7" s="10" t="s">
        <v>96</v>
      </c>
    </row>
    <row r="8" spans="1:19" ht="43.5" x14ac:dyDescent="0.35">
      <c r="A8" s="9" t="str">
        <f>Tabla_UR[[#This Row],[ID]]</f>
        <v>UR-07</v>
      </c>
      <c r="B8" s="2" t="str">
        <f>Tabla_UR[[#This Row],[Descripción del Requerimiento]]</f>
        <v>El sistema deberá cubrir el territorio chileno continental, zonas extremas, territorio insular y territorio antártico.</v>
      </c>
      <c r="C8" s="9" t="str">
        <f>Tabla_UR[[#This Row],[Riesgo]]</f>
        <v>Bajo</v>
      </c>
      <c r="D8" s="9">
        <v>5</v>
      </c>
      <c r="E8" s="9">
        <f>_xlfn.XLOOKUP(C8, Tabla5[Impacto], Tabla5[Nivel])</f>
        <v>1</v>
      </c>
      <c r="F8" s="9">
        <f t="shared" si="0"/>
        <v>1</v>
      </c>
      <c r="G8" s="9">
        <f>Tabla7[[#This Row],[Nivel Impacto]]*Tabla7[[#This Row],[Nivel Probabilidad]]</f>
        <v>1</v>
      </c>
      <c r="H8" s="9" t="str">
        <f t="shared" si="1"/>
        <v>Bajo</v>
      </c>
      <c r="I8" s="10"/>
      <c r="K8" s="9" t="str">
        <f>Tabla_SR[[#This Row],[ID]]</f>
        <v>SR-07</v>
      </c>
      <c r="L8" s="10" t="str">
        <f>Tabla_SR[[#This Row],[Descripción del Requerimiento]]</f>
        <v>El sistema deberá entregar los datos al subsistema de comunicaciones de la plataforma (Transponder Banda S) para el enlace downlink.</v>
      </c>
      <c r="M8" s="9" t="str">
        <f>Tabla_SR[[#This Row],[Riesgo]]</f>
        <v>Medio</v>
      </c>
      <c r="N8" s="9">
        <v>10</v>
      </c>
      <c r="O8" s="9">
        <f>_xlfn.XLOOKUP(M8, Tabla5[Impacto], Tabla5[Nivel])</f>
        <v>2</v>
      </c>
      <c r="P8" s="9">
        <f t="shared" si="2"/>
        <v>1</v>
      </c>
      <c r="Q8" s="9">
        <f>Tabla710[[#This Row],[Nivel Impacto]]*Tabla710[[#This Row],[Nivel Probabilidad]]</f>
        <v>2</v>
      </c>
      <c r="R8" s="9" t="str">
        <f t="shared" si="3"/>
        <v>Bajo</v>
      </c>
      <c r="S8" s="10"/>
    </row>
    <row r="9" spans="1:19" ht="87" x14ac:dyDescent="0.35">
      <c r="A9" s="9" t="str">
        <f>Tabla_UR[[#This Row],[ID]]</f>
        <v>UR-08</v>
      </c>
      <c r="B9" s="2" t="str">
        <f>Tabla_UR[[#This Row],[Descripción del Requerimiento]]</f>
        <v>El sistema deberá permitir el uso de componentes COTS siempre que cumplan con: (a) funcionamiento en órbita probada, (b) tolerancia a la radiación verificada, o (c) mitigaciones de diseño que reduzcan el riesgo a un nivel aceptable para la misión.</v>
      </c>
      <c r="C9" s="9" t="str">
        <f>Tabla_UR[[#This Row],[Riesgo]]</f>
        <v>Alto</v>
      </c>
      <c r="D9" s="9">
        <v>25</v>
      </c>
      <c r="E9" s="9">
        <f>_xlfn.XLOOKUP(C9, Tabla5[Impacto], Tabla5[Nivel])</f>
        <v>3</v>
      </c>
      <c r="F9" s="9">
        <f t="shared" si="0"/>
        <v>2</v>
      </c>
      <c r="G9" s="9">
        <f>Tabla7[[#This Row],[Nivel Impacto]]*Tabla7[[#This Row],[Nivel Probabilidad]]</f>
        <v>6</v>
      </c>
      <c r="H9" s="9" t="str">
        <f t="shared" si="1"/>
        <v>Alto</v>
      </c>
      <c r="I9" s="10" t="s">
        <v>89</v>
      </c>
      <c r="K9" s="9" t="str">
        <f>Tabla_SR[[#This Row],[ID]]</f>
        <v>SR-08</v>
      </c>
      <c r="L9" s="10" t="str">
        <f>Tabla_SR[[#This Row],[Descripción del Requerimiento]]</f>
        <v>El sistema deberá comunicarse con el OBC del CubeSat 12U mediante el bus definido por la plataforma (CANBUS), gestionando una tasa de transferencia de datos compatible y reportando periódicamente su estado operativo.</v>
      </c>
      <c r="M9" s="9" t="str">
        <f>Tabla_SR[[#This Row],[Riesgo]]</f>
        <v>Alto</v>
      </c>
      <c r="N9" s="9">
        <v>25</v>
      </c>
      <c r="O9" s="9">
        <f>_xlfn.XLOOKUP(M9, Tabla5[Impacto], Tabla5[Nivel])</f>
        <v>3</v>
      </c>
      <c r="P9" s="9">
        <f t="shared" si="2"/>
        <v>2</v>
      </c>
      <c r="Q9" s="9">
        <f>Tabla710[[#This Row],[Nivel Impacto]]*Tabla710[[#This Row],[Nivel Probabilidad]]</f>
        <v>6</v>
      </c>
      <c r="R9" s="9" t="str">
        <f t="shared" si="3"/>
        <v>Alto</v>
      </c>
      <c r="S9" s="10"/>
    </row>
    <row r="10" spans="1:19" ht="58" x14ac:dyDescent="0.35">
      <c r="A10" s="9" t="str">
        <f>Tabla_UR[[#This Row],[ID]]</f>
        <v>UR-09</v>
      </c>
      <c r="B10" s="2" t="str">
        <f>Tabla_UR[[#This Row],[Descripción del Requerimiento]]</f>
        <v>El sistema deberá ser de carácter experimental, con proyección a futuras aplicaciones comerciales.</v>
      </c>
      <c r="C10" s="9" t="str">
        <f>Tabla_UR[[#This Row],[Riesgo]]</f>
        <v>Bajo</v>
      </c>
      <c r="D10" s="9">
        <v>10</v>
      </c>
      <c r="E10" s="9">
        <f>_xlfn.XLOOKUP(C10, Tabla5[Impacto], Tabla5[Nivel])</f>
        <v>1</v>
      </c>
      <c r="F10" s="9">
        <f t="shared" si="0"/>
        <v>1</v>
      </c>
      <c r="G10" s="9">
        <f>Tabla7[[#This Row],[Nivel Impacto]]*Tabla7[[#This Row],[Nivel Probabilidad]]</f>
        <v>1</v>
      </c>
      <c r="H10" s="9" t="str">
        <f t="shared" si="1"/>
        <v>Bajo</v>
      </c>
      <c r="I10" s="10"/>
      <c r="K10" s="9" t="str">
        <f>Tabla_SR[[#This Row],[ID]]</f>
        <v>SR-09</v>
      </c>
      <c r="L10" s="10" t="str">
        <f>Tabla_SR[[#This Row],[Descripción del Requerimiento]]</f>
        <v>El sistema deberá operar bajo el control del OBC, escuchando activamente en las zonas definidas por la misión y transmitiendo únicamente cuando sea ordenado.</v>
      </c>
      <c r="M10" s="9" t="str">
        <f>Tabla_SR[[#This Row],[Riesgo]]</f>
        <v>Bajo</v>
      </c>
      <c r="N10" s="9">
        <v>10</v>
      </c>
      <c r="O10" s="9">
        <f>_xlfn.XLOOKUP(M10, Tabla5[Impacto], Tabla5[Nivel])</f>
        <v>1</v>
      </c>
      <c r="P10" s="9">
        <f t="shared" si="2"/>
        <v>1</v>
      </c>
      <c r="Q10" s="9">
        <f>Tabla710[[#This Row],[Nivel Impacto]]*Tabla710[[#This Row],[Nivel Probabilidad]]</f>
        <v>1</v>
      </c>
      <c r="R10" s="9" t="str">
        <f t="shared" si="3"/>
        <v>Bajo</v>
      </c>
      <c r="S10" s="10"/>
    </row>
    <row r="11" spans="1:19" ht="58" x14ac:dyDescent="0.35">
      <c r="A11" s="9" t="str">
        <f>Tabla_UR[[#This Row],[ID]]</f>
        <v>UR-10</v>
      </c>
      <c r="B11" s="2" t="str">
        <f>Tabla_UR[[#This Row],[Descripción del Requerimiento]]</f>
        <v>El sistema deberá presentar una arquitectura modular, reutilizable y escalable.</v>
      </c>
      <c r="C11" s="9" t="str">
        <f>Tabla_UR[[#This Row],[Riesgo]]</f>
        <v>Bajo</v>
      </c>
      <c r="D11" s="9">
        <v>10</v>
      </c>
      <c r="E11" s="9">
        <f>_xlfn.XLOOKUP(C11, Tabla5[Impacto], Tabla5[Nivel])</f>
        <v>1</v>
      </c>
      <c r="F11" s="9">
        <f t="shared" si="0"/>
        <v>1</v>
      </c>
      <c r="G11" s="9">
        <f>Tabla7[[#This Row],[Nivel Impacto]]*Tabla7[[#This Row],[Nivel Probabilidad]]</f>
        <v>1</v>
      </c>
      <c r="H11" s="9" t="str">
        <f t="shared" si="1"/>
        <v>Bajo</v>
      </c>
      <c r="I11" s="10"/>
      <c r="K11" s="9" t="str">
        <f>Tabla_SR[[#This Row],[ID]]</f>
        <v>SR-10</v>
      </c>
      <c r="L11" s="10" t="str">
        <f>Tabla_SR[[#This Row],[Descripción del Requerimiento]]</f>
        <v>El sistema deberá implementar mecanismos de integridad de datos en todas las etapas, con un error de bit menor a 0.01% y control de acceso a la descarga de datos por estaciones terrestres.</v>
      </c>
      <c r="M11" s="9" t="str">
        <f>Tabla_SR[[#This Row],[Riesgo]]</f>
        <v>Medio</v>
      </c>
      <c r="N11" s="9">
        <v>20</v>
      </c>
      <c r="O11" s="9">
        <f>_xlfn.XLOOKUP(M11, Tabla5[Impacto], Tabla5[Nivel])</f>
        <v>2</v>
      </c>
      <c r="P11" s="9">
        <f t="shared" si="2"/>
        <v>2</v>
      </c>
      <c r="Q11" s="9">
        <f>Tabla710[[#This Row],[Nivel Impacto]]*Tabla710[[#This Row],[Nivel Probabilidad]]</f>
        <v>4</v>
      </c>
      <c r="R11" s="9" t="str">
        <f t="shared" si="3"/>
        <v>Medio</v>
      </c>
      <c r="S11" s="10" t="s">
        <v>97</v>
      </c>
    </row>
    <row r="12" spans="1:19" ht="43.5" x14ac:dyDescent="0.35">
      <c r="A12" s="9" t="str">
        <f>Tabla_UR[[#This Row],[ID]]</f>
        <v>UR-11</v>
      </c>
      <c r="B12" s="2" t="str">
        <f>Tabla_UR[[#This Row],[Descripción del Requerimiento]]</f>
        <v>El sistema debe garantizar una vida útil operativa mínima de 5 años en el entorno de radiación LEO definido.</v>
      </c>
      <c r="C12" s="9" t="str">
        <f>Tabla_UR[[#This Row],[Riesgo]]</f>
        <v>Alto</v>
      </c>
      <c r="D12" s="9">
        <v>30</v>
      </c>
      <c r="E12" s="9">
        <f>_xlfn.XLOOKUP(C12, Tabla5[Impacto], Tabla5[Nivel])</f>
        <v>3</v>
      </c>
      <c r="F12" s="9">
        <f t="shared" si="0"/>
        <v>2</v>
      </c>
      <c r="G12" s="9">
        <f>Tabla7[[#This Row],[Nivel Impacto]]*Tabla7[[#This Row],[Nivel Probabilidad]]</f>
        <v>6</v>
      </c>
      <c r="H12" s="9" t="str">
        <f t="shared" si="1"/>
        <v>Alto</v>
      </c>
      <c r="I12" s="10" t="s">
        <v>90</v>
      </c>
      <c r="K12" s="9" t="str">
        <f>Tabla_SR[[#This Row],[ID]]</f>
        <v>SR-13</v>
      </c>
      <c r="L12" s="10" t="str">
        <f>Tabla_SR[[#This Row],[Descripción del Requerimiento]]</f>
        <v>El sistema deberá consumir un máximo de 10 W en operación nominal y ser alimentado por el sistema de potencia del satélite de forma continua.</v>
      </c>
      <c r="M12" s="9" t="str">
        <f>Tabla_SR[[#This Row],[Riesgo]]</f>
        <v>Alto</v>
      </c>
      <c r="N12" s="9">
        <v>20</v>
      </c>
      <c r="O12" s="9">
        <f>_xlfn.XLOOKUP(M12, Tabla5[Impacto], Tabla5[Nivel])</f>
        <v>3</v>
      </c>
      <c r="P12" s="9">
        <f t="shared" si="2"/>
        <v>2</v>
      </c>
      <c r="Q12" s="9">
        <f>Tabla710[[#This Row],[Nivel Impacto]]*Tabla710[[#This Row],[Nivel Probabilidad]]</f>
        <v>6</v>
      </c>
      <c r="R12" s="9" t="str">
        <f t="shared" si="3"/>
        <v>Alto</v>
      </c>
      <c r="S12" s="10" t="s">
        <v>98</v>
      </c>
    </row>
    <row r="13" spans="1:19" ht="29" x14ac:dyDescent="0.35">
      <c r="A13" s="9" t="str">
        <f>Tabla_UR[[#This Row],[ID]]</f>
        <v>UR-12</v>
      </c>
      <c r="B13" s="2" t="str">
        <f>Tabla_UR[[#This Row],[Descripción del Requerimiento]]</f>
        <v>El sistema debe ser validado mediante pruebas funcionales en tierra y demostración en órbita.</v>
      </c>
      <c r="C13" s="9" t="str">
        <f>Tabla_UR[[#This Row],[Riesgo]]</f>
        <v>Bajo</v>
      </c>
      <c r="D13" s="9">
        <v>10</v>
      </c>
      <c r="E13" s="9">
        <f>_xlfn.XLOOKUP(C13, Tabla5[Impacto], Tabla5[Nivel])</f>
        <v>1</v>
      </c>
      <c r="F13" s="9">
        <f t="shared" si="0"/>
        <v>1</v>
      </c>
      <c r="G13" s="9">
        <f>Tabla7[[#This Row],[Nivel Impacto]]*Tabla7[[#This Row],[Nivel Probabilidad]]</f>
        <v>1</v>
      </c>
      <c r="H13" s="9" t="str">
        <f t="shared" si="1"/>
        <v>Bajo</v>
      </c>
      <c r="I13" s="10"/>
      <c r="K13" s="9" t="str">
        <f>Tabla_SR[[#This Row],[ID]]</f>
        <v>SR-14</v>
      </c>
      <c r="L13" s="10" t="str">
        <f>Tabla_SR[[#This Row],[Descripción del Requerimiento]]</f>
        <v>El sistema deberá tener dimensiones máximas 20 cm x 20 cm x 10 cm.</v>
      </c>
      <c r="M13" s="9" t="str">
        <f>Tabla_SR[[#This Row],[Riesgo]]</f>
        <v>Alto</v>
      </c>
      <c r="N13" s="9">
        <v>15</v>
      </c>
      <c r="O13" s="9">
        <f>_xlfn.XLOOKUP(M13, Tabla5[Impacto], Tabla5[Nivel])</f>
        <v>3</v>
      </c>
      <c r="P13" s="9">
        <f t="shared" si="2"/>
        <v>2</v>
      </c>
      <c r="Q13" s="9">
        <f>Tabla710[[#This Row],[Nivel Impacto]]*Tabla710[[#This Row],[Nivel Probabilidad]]</f>
        <v>6</v>
      </c>
      <c r="R13" s="9" t="str">
        <f t="shared" si="3"/>
        <v>Alto</v>
      </c>
      <c r="S13" s="10" t="s">
        <v>99</v>
      </c>
    </row>
    <row r="14" spans="1:19" ht="58" x14ac:dyDescent="0.35">
      <c r="A14" s="9" t="str">
        <f>Tabla_UR[[#This Row],[ID]]</f>
        <v>UR-13</v>
      </c>
      <c r="B14" s="2"/>
      <c r="C14" s="9">
        <f>Tabla_UR[[#This Row],[Riesgo]]</f>
        <v>0</v>
      </c>
      <c r="D14" s="9"/>
      <c r="E14" s="9" t="e">
        <f>_xlfn.XLOOKUP(C14, Tabla5[Impacto], Tabla5[Nivel])</f>
        <v>#N/A</v>
      </c>
      <c r="F14" s="9">
        <f>IF(D14&lt;=10,1,
 IF(D14&lt;=30,2,3))</f>
        <v>1</v>
      </c>
      <c r="G14" s="9" t="e">
        <f>Tabla7[[#This Row],[Nivel Impacto]]*Tabla7[[#This Row],[Nivel Probabilidad]]</f>
        <v>#N/A</v>
      </c>
      <c r="H14" s="9" t="e">
        <f>IF(G14&gt;=6,"Alto",
 IF(G14&gt;=3,"Medio","Bajo"))</f>
        <v>#N/A</v>
      </c>
      <c r="I14" s="10"/>
      <c r="K14" s="9" t="str">
        <f>Tabla_SR[[#This Row],[ID]]</f>
        <v>SR-15</v>
      </c>
      <c r="L14" s="10" t="str">
        <f>Tabla_SR[[#This Row],[Descripción del Requerimiento]]</f>
        <v xml:space="preserve"> El sistema deberá tener una masa máxima de 3.0 kg y mantener su Centro de Gravedad (CoG) a ±2 mm del centro geométrico, el cual coincide con el eje logitudinal geométrico del satélite.</v>
      </c>
      <c r="M14" s="9" t="str">
        <f>Tabla_SR[[#This Row],[Riesgo]]</f>
        <v>Alto</v>
      </c>
      <c r="N14" s="9">
        <v>30</v>
      </c>
      <c r="O14" s="9">
        <f>_xlfn.XLOOKUP(M14, Tabla5[Impacto], Tabla5[Nivel])</f>
        <v>3</v>
      </c>
      <c r="P14" s="9">
        <f t="shared" si="2"/>
        <v>2</v>
      </c>
      <c r="Q14" s="9">
        <f>Tabla710[[#This Row],[Nivel Impacto]]*Tabla710[[#This Row],[Nivel Probabilidad]]</f>
        <v>6</v>
      </c>
      <c r="R14" s="9" t="str">
        <f t="shared" si="3"/>
        <v>Alto</v>
      </c>
      <c r="S14" s="10" t="s">
        <v>100</v>
      </c>
    </row>
    <row r="15" spans="1:19" ht="72.5" x14ac:dyDescent="0.35">
      <c r="K15" s="9" t="str">
        <f>Tabla_SR[[#This Row],[ID]]</f>
        <v>SR-16</v>
      </c>
      <c r="L15" s="10" t="str">
        <f>Tabla_SR[[#This Row],[Descripción del Requerimiento]]</f>
        <v>El sistema deberá cumplir con requisitos de EMI/EMC compatibles con operación satelital, evitando interferencias internas y externas durante todo el proceso de lanzamiento, despliege y operación.</v>
      </c>
      <c r="M15" s="9" t="str">
        <f>Tabla_SR[[#This Row],[Riesgo]]</f>
        <v>Alto</v>
      </c>
      <c r="N15" s="9">
        <v>15</v>
      </c>
      <c r="O15" s="9">
        <f>_xlfn.XLOOKUP(M15, Tabla5[Impacto], Tabla5[Nivel])</f>
        <v>3</v>
      </c>
      <c r="P15" s="9">
        <f t="shared" si="2"/>
        <v>2</v>
      </c>
      <c r="Q15" s="9">
        <f>Tabla710[[#This Row],[Nivel Impacto]]*Tabla710[[#This Row],[Nivel Probabilidad]]</f>
        <v>6</v>
      </c>
      <c r="R15" s="9" t="str">
        <f t="shared" si="3"/>
        <v>Alto</v>
      </c>
      <c r="S15" s="10" t="s">
        <v>101</v>
      </c>
    </row>
    <row r="16" spans="1:19" ht="58" x14ac:dyDescent="0.35">
      <c r="K16" s="9" t="str">
        <f>Tabla_SR[[#This Row],[ID]]</f>
        <v>SR-17</v>
      </c>
      <c r="L16" s="10" t="str">
        <f>Tabla_SR[[#This Row],[Descripción del Requerimiento]]</f>
        <v>El sistema deberá diseñarse de forma modular y permitir la actualización de firmware en vuelo (OTA).</v>
      </c>
      <c r="M16" s="9" t="str">
        <f>Tabla_SR[[#This Row],[Riesgo]]</f>
        <v>Bajo</v>
      </c>
      <c r="N16" s="9">
        <v>10</v>
      </c>
      <c r="O16" s="9">
        <f>_xlfn.XLOOKUP(M16, Tabla5[Impacto], Tabla5[Nivel])</f>
        <v>1</v>
      </c>
      <c r="P16" s="9">
        <f t="shared" si="2"/>
        <v>1</v>
      </c>
      <c r="Q16" s="9">
        <f>Tabla710[[#This Row],[Nivel Impacto]]*Tabla710[[#This Row],[Nivel Probabilidad]]</f>
        <v>1</v>
      </c>
      <c r="R16" s="9" t="str">
        <f t="shared" si="3"/>
        <v>Bajo</v>
      </c>
      <c r="S16" s="10" t="s">
        <v>103</v>
      </c>
    </row>
    <row r="17" spans="11:19" ht="58" x14ac:dyDescent="0.35">
      <c r="K17" s="9" t="str">
        <f>Tabla_SR[[#This Row],[ID]]</f>
        <v>SR-18</v>
      </c>
      <c r="L17" s="10" t="str">
        <f>Tabla_SR[[#This Row],[Descripción del Requerimiento]]</f>
        <v>El sistema deberá certificarse mediante prueba térmo-vacio, mecánicas, EMI y eléctricas en las instalaciones de Centro Espacial Nacional y ser validado en órbita.</v>
      </c>
      <c r="M17" s="9" t="str">
        <f>Tabla_SR[[#This Row],[Riesgo]]</f>
        <v>Bajo</v>
      </c>
      <c r="N17" s="9">
        <v>20</v>
      </c>
      <c r="O17" s="9">
        <f>_xlfn.XLOOKUP(M17, Tabla5[Impacto], Tabla5[Nivel])</f>
        <v>1</v>
      </c>
      <c r="P17" s="9">
        <f t="shared" si="2"/>
        <v>2</v>
      </c>
      <c r="Q17" s="9">
        <f>Tabla710[[#This Row],[Nivel Impacto]]*Tabla710[[#This Row],[Nivel Probabilidad]]</f>
        <v>2</v>
      </c>
      <c r="R17" s="9" t="str">
        <f t="shared" si="3"/>
        <v>Bajo</v>
      </c>
      <c r="S17" s="10" t="s">
        <v>102</v>
      </c>
    </row>
    <row r="18" spans="11:19" ht="72.5" x14ac:dyDescent="0.35">
      <c r="K18" s="9" t="str">
        <f>Tabla_SR[[#This Row],[ID]]</f>
        <v>SR-19</v>
      </c>
      <c r="L18" s="10" t="str">
        <f>Tabla_SR[[#This Row],[Descripción del Requerimiento]]</f>
        <v>El sistema deberá ser respetar la envolvente interna permita, los volúmen prohibídos y las restricciones sobre protrusiones, mecanismos móviles y bordes activos, asegurando la integración con la plataforma.</v>
      </c>
      <c r="M18" s="9">
        <f>Tabla_SR[[#This Row],[Riesgo]]</f>
        <v>0</v>
      </c>
      <c r="N18" s="9">
        <v>10</v>
      </c>
      <c r="O18" s="9" t="e">
        <f>_xlfn.XLOOKUP(M18, Tabla5[Impacto], Tabla5[Nivel])</f>
        <v>#N/A</v>
      </c>
      <c r="P18" s="9">
        <f t="shared" si="2"/>
        <v>1</v>
      </c>
      <c r="Q18" s="9" t="e">
        <f>Tabla710[[#This Row],[Nivel Impacto]]*Tabla710[[#This Row],[Nivel Probabilidad]]</f>
        <v>#N/A</v>
      </c>
      <c r="R18" s="9" t="e">
        <f t="shared" si="3"/>
        <v>#N/A</v>
      </c>
      <c r="S18" s="10"/>
    </row>
    <row r="19" spans="11:19" ht="58" x14ac:dyDescent="0.35">
      <c r="K19" s="9" t="str">
        <f>Tabla_SR[[#This Row],[ID]]</f>
        <v>SR-20</v>
      </c>
      <c r="L19" s="10" t="str">
        <f>Tabla_SR[[#This Row],[Descripción del Requerimiento]]</f>
        <v>El sistema deberá soportar los ambientes mecánicos de lanzamiento (cargas cuasiestáticas, vibración y shock) definidos por el lanzador y deployer seleccionados.</v>
      </c>
      <c r="M19" s="9">
        <f>Tabla_SR[[#This Row],[Riesgo]]</f>
        <v>0</v>
      </c>
      <c r="N19" s="9">
        <v>10</v>
      </c>
      <c r="O19" s="9" t="e">
        <f>_xlfn.XLOOKUP(M19, Tabla5[Impacto], Tabla5[Nivel])</f>
        <v>#N/A</v>
      </c>
      <c r="P19" s="9">
        <f t="shared" si="2"/>
        <v>1</v>
      </c>
      <c r="Q19" s="9" t="e">
        <f>Tabla710[[#This Row],[Nivel Impacto]]*Tabla710[[#This Row],[Nivel Probabilidad]]</f>
        <v>#N/A</v>
      </c>
      <c r="R19" s="9" t="e">
        <f t="shared" si="3"/>
        <v>#N/A</v>
      </c>
      <c r="S19" s="10"/>
    </row>
    <row r="20" spans="11:19" ht="43.5" x14ac:dyDescent="0.35">
      <c r="K20" s="9" t="str">
        <f>Tabla_SR[[#This Row],[ID]]</f>
        <v>SR-21</v>
      </c>
      <c r="L20" s="10" t="str">
        <f>Tabla_SR[[#This Row],[Descripción del Requerimiento]]</f>
        <v>El sistema deberá implementar Watchdog Timers externos e independientes para reinicio ante eventos SEU/Latch-up.</v>
      </c>
      <c r="M20" s="9">
        <f>Tabla_SR[[#This Row],[Riesgo]]</f>
        <v>0</v>
      </c>
      <c r="N20" s="9">
        <v>0</v>
      </c>
      <c r="O20" s="9" t="e">
        <f>_xlfn.XLOOKUP(M20, Tabla5[Impacto], Tabla5[Nivel])</f>
        <v>#N/A</v>
      </c>
      <c r="P20" s="9">
        <f t="shared" ref="P20:P22" si="4">IF(N20&lt;=10,1,
 IF(N20&lt;=30,2,3))</f>
        <v>1</v>
      </c>
      <c r="Q20" s="9" t="e">
        <f>Tabla710[[#This Row],[Nivel Impacto]]*Tabla710[[#This Row],[Nivel Probabilidad]]</f>
        <v>#N/A</v>
      </c>
      <c r="R20" s="9" t="e">
        <f t="shared" ref="R20:R22" si="5">IF(Q20&gt;=6,"Alto",
 IF(Q20&gt;=3,"Medio","Bajo"))</f>
        <v>#N/A</v>
      </c>
      <c r="S20" s="10"/>
    </row>
    <row r="21" spans="11:19" ht="29" x14ac:dyDescent="0.35">
      <c r="K21" s="9" t="str">
        <f>Tabla_SR[[#This Row],[ID]]</f>
        <v>SR-22</v>
      </c>
      <c r="L21" s="10" t="str">
        <f>Tabla_SR[[#This Row],[Descripción del Requerimiento]]</f>
        <v>Protección electrónica contra Single Event Latch-up (SEL) mediante limitación de corriente activa.</v>
      </c>
      <c r="M21" s="9">
        <f>Tabla_SR[[#This Row],[Riesgo]]</f>
        <v>0</v>
      </c>
      <c r="N21" s="9">
        <v>0</v>
      </c>
      <c r="O21" s="9" t="e">
        <f>_xlfn.XLOOKUP(M21, Tabla5[Impacto], Tabla5[Nivel])</f>
        <v>#N/A</v>
      </c>
      <c r="P21" s="9">
        <f t="shared" si="4"/>
        <v>1</v>
      </c>
      <c r="Q21" s="9" t="e">
        <f>Tabla710[[#This Row],[Nivel Impacto]]*Tabla710[[#This Row],[Nivel Probabilidad]]</f>
        <v>#N/A</v>
      </c>
      <c r="R21" s="9" t="e">
        <f t="shared" si="5"/>
        <v>#N/A</v>
      </c>
      <c r="S21" s="10"/>
    </row>
    <row r="22" spans="11:19" ht="43.5" x14ac:dyDescent="0.35">
      <c r="K22" s="9" t="str">
        <f>Tabla_SR[[#This Row],[ID]]</f>
        <v>SR-23</v>
      </c>
      <c r="L22" s="10" t="str">
        <f>Tabla_SR[[#This Row],[Descripción del Requerimiento]]</f>
        <v>Los componentes y materiales no metálicos que uitlice el sistema deberán cumplir con un TML &lt; 1.0% y un CVCM &lt;0.1%</v>
      </c>
      <c r="M22" s="9">
        <f>Tabla_SR[[#This Row],[Riesgo]]</f>
        <v>0</v>
      </c>
      <c r="N22" s="9">
        <v>0</v>
      </c>
      <c r="O22" s="9" t="e">
        <f>_xlfn.XLOOKUP(M22, Tabla5[Impacto], Tabla5[Nivel])</f>
        <v>#N/A</v>
      </c>
      <c r="P22" s="9">
        <f t="shared" si="4"/>
        <v>1</v>
      </c>
      <c r="Q22" s="9" t="e">
        <f>Tabla710[[#This Row],[Nivel Impacto]]*Tabla710[[#This Row],[Nivel Probabilidad]]</f>
        <v>#N/A</v>
      </c>
      <c r="R22" s="9" t="e">
        <f t="shared" si="5"/>
        <v>#N/A</v>
      </c>
      <c r="S22" s="10"/>
    </row>
    <row r="23" spans="11:19" x14ac:dyDescent="0.35">
      <c r="K23" s="9"/>
      <c r="L23" s="10"/>
      <c r="M23" s="9"/>
      <c r="N23" s="9"/>
      <c r="O23" s="9"/>
      <c r="P23" s="9"/>
      <c r="Q23" s="9"/>
      <c r="R23" s="9"/>
      <c r="S23" s="10"/>
    </row>
    <row r="24" spans="11:19" x14ac:dyDescent="0.35">
      <c r="K24" s="9"/>
      <c r="L24" s="10"/>
      <c r="M24" s="9"/>
      <c r="N24" s="9"/>
      <c r="O24" s="9"/>
      <c r="P24" s="9"/>
      <c r="Q24" s="9"/>
      <c r="R24" s="9"/>
      <c r="S24" s="10"/>
    </row>
  </sheetData>
  <conditionalFormatting sqref="E2:E14">
    <cfRule type="colorScale" priority="9">
      <colorScale>
        <cfvo type="num" val="1"/>
        <cfvo type="percentile" val="50"/>
        <cfvo type="num" val="3"/>
        <color rgb="FF63BE7B"/>
        <color rgb="FFFFEB84"/>
        <color rgb="FFF8696B"/>
      </colorScale>
    </cfRule>
  </conditionalFormatting>
  <conditionalFormatting sqref="F2:F14">
    <cfRule type="colorScale" priority="10">
      <colorScale>
        <cfvo type="num" val="1"/>
        <cfvo type="num" val="2"/>
        <cfvo type="num" val="3"/>
        <color rgb="FF63BE7B"/>
        <color rgb="FFFFEB84"/>
        <color rgb="FFF8696B"/>
      </colorScale>
    </cfRule>
  </conditionalFormatting>
  <conditionalFormatting sqref="G2:G14">
    <cfRule type="colorScale" priority="12">
      <colorScale>
        <cfvo type="num" val="1"/>
        <cfvo type="percentile" val="50"/>
        <cfvo type="num" val="9"/>
        <color rgb="FF63BE7B"/>
        <color rgb="FFFFEB84"/>
        <color rgb="FFF8696B"/>
      </colorScale>
    </cfRule>
  </conditionalFormatting>
  <conditionalFormatting sqref="H2:H14">
    <cfRule type="containsText" dxfId="3" priority="3" operator="containsText" text="Medio">
      <formula>NOT(ISERROR(SEARCH("Medio",H2)))</formula>
    </cfRule>
    <cfRule type="containsText" dxfId="2" priority="4" operator="containsText" text="Alto">
      <formula>NOT(ISERROR(SEARCH("Alto",H2)))</formula>
    </cfRule>
  </conditionalFormatting>
  <conditionalFormatting sqref="O2:O22">
    <cfRule type="colorScale" priority="6">
      <colorScale>
        <cfvo type="num" val="1"/>
        <cfvo type="percentile" val="50"/>
        <cfvo type="num" val="3"/>
        <color rgb="FF63BE7B"/>
        <color rgb="FFFFEB84"/>
        <color rgb="FFF8696B"/>
      </colorScale>
    </cfRule>
  </conditionalFormatting>
  <conditionalFormatting sqref="P2:P22">
    <cfRule type="colorScale" priority="7">
      <colorScale>
        <cfvo type="num" val="1"/>
        <cfvo type="num" val="2"/>
        <cfvo type="num" val="3"/>
        <color rgb="FF63BE7B"/>
        <color rgb="FFFFEB84"/>
        <color rgb="FFF8696B"/>
      </colorScale>
    </cfRule>
  </conditionalFormatting>
  <conditionalFormatting sqref="Q2:Q22">
    <cfRule type="colorScale" priority="11">
      <colorScale>
        <cfvo type="num" val="1"/>
        <cfvo type="percentile" val="50"/>
        <cfvo type="num" val="9"/>
        <color rgb="FF63BE7B"/>
        <color rgb="FFFFEB84"/>
        <color rgb="FFF8696B"/>
      </colorScale>
    </cfRule>
  </conditionalFormatting>
  <conditionalFormatting sqref="R2:R22">
    <cfRule type="containsText" dxfId="1" priority="1" operator="containsText" text="Medio">
      <formula>NOT(ISERROR(SEARCH("Medio",R2)))</formula>
    </cfRule>
    <cfRule type="containsText" dxfId="0" priority="2" operator="containsText" text="Alto">
      <formula>NOT(ISERROR(SEARCH("Alto",R2)))</formula>
    </cfRule>
  </conditionalFormatting>
  <dataValidations count="1">
    <dataValidation type="whole" operator="lessThanOrEqual" allowBlank="1" showInputMessage="1" showErrorMessage="1" sqref="N2:N22 D2:D14" xr:uid="{5FDA33D0-05CA-44C0-98E8-2906F72E85E0}">
      <formula1>100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1A64F1-D244-4E54-859B-97D27452BF3F}">
          <x14:formula1>
            <xm:f>TR!$D$8:$D$11</xm:f>
          </x14:formula1>
          <xm:sqref>C2:C14 M2:M22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8213-23A3-4396-8AD3-C071F99470EB}">
  <dimension ref="A1:D26"/>
  <sheetViews>
    <sheetView zoomScale="85" zoomScaleNormal="85" workbookViewId="0">
      <selection activeCell="D11" sqref="D11"/>
    </sheetView>
  </sheetViews>
  <sheetFormatPr baseColWidth="10" defaultRowHeight="14.5" x14ac:dyDescent="0.35"/>
  <cols>
    <col min="1" max="1" width="11.1796875" bestFit="1" customWidth="1"/>
    <col min="2" max="2" width="15.453125" bestFit="1" customWidth="1"/>
    <col min="3" max="3" width="20.7265625" customWidth="1"/>
    <col min="4" max="4" width="46.7265625" customWidth="1"/>
  </cols>
  <sheetData>
    <row r="1" spans="1:4" x14ac:dyDescent="0.35">
      <c r="A1" s="1" t="s">
        <v>0</v>
      </c>
      <c r="B1" s="1" t="s">
        <v>35</v>
      </c>
      <c r="C1" s="1" t="s">
        <v>143</v>
      </c>
      <c r="D1" s="1" t="s">
        <v>18</v>
      </c>
    </row>
    <row r="2" spans="1:4" ht="43.5" x14ac:dyDescent="0.35">
      <c r="A2" s="2" t="s">
        <v>122</v>
      </c>
      <c r="B2" s="8" t="s">
        <v>105</v>
      </c>
      <c r="C2" s="2" t="s">
        <v>129</v>
      </c>
      <c r="D2" s="10" t="s">
        <v>130</v>
      </c>
    </row>
    <row r="3" spans="1:4" ht="43.5" x14ac:dyDescent="0.35">
      <c r="A3" s="2" t="s">
        <v>123</v>
      </c>
      <c r="B3" s="8" t="s">
        <v>105</v>
      </c>
      <c r="C3" s="2" t="s">
        <v>131</v>
      </c>
      <c r="D3" s="10" t="s">
        <v>132</v>
      </c>
    </row>
    <row r="4" spans="1:4" ht="43.5" x14ac:dyDescent="0.35">
      <c r="A4" s="2" t="s">
        <v>124</v>
      </c>
      <c r="B4" s="8" t="s">
        <v>105</v>
      </c>
      <c r="C4" s="2" t="s">
        <v>133</v>
      </c>
      <c r="D4" s="10" t="s">
        <v>134</v>
      </c>
    </row>
    <row r="5" spans="1:4" ht="43.5" x14ac:dyDescent="0.35">
      <c r="A5" s="2" t="s">
        <v>125</v>
      </c>
      <c r="B5" s="8" t="s">
        <v>105</v>
      </c>
      <c r="C5" s="2" t="s">
        <v>135</v>
      </c>
      <c r="D5" s="10" t="s">
        <v>136</v>
      </c>
    </row>
    <row r="6" spans="1:4" ht="43.5" x14ac:dyDescent="0.35">
      <c r="A6" s="2" t="s">
        <v>126</v>
      </c>
      <c r="B6" s="8" t="s">
        <v>105</v>
      </c>
      <c r="C6" s="2" t="s">
        <v>137</v>
      </c>
      <c r="D6" s="10" t="s">
        <v>138</v>
      </c>
    </row>
    <row r="7" spans="1:4" ht="43.5" x14ac:dyDescent="0.35">
      <c r="A7" s="2" t="s">
        <v>127</v>
      </c>
      <c r="B7" s="8" t="s">
        <v>105</v>
      </c>
      <c r="C7" s="2" t="s">
        <v>139</v>
      </c>
      <c r="D7" s="10" t="s">
        <v>140</v>
      </c>
    </row>
    <row r="8" spans="1:4" ht="43.5" x14ac:dyDescent="0.35">
      <c r="A8" s="2" t="s">
        <v>128</v>
      </c>
      <c r="B8" s="8" t="s">
        <v>105</v>
      </c>
      <c r="C8" s="2" t="s">
        <v>141</v>
      </c>
      <c r="D8" s="10" t="s">
        <v>142</v>
      </c>
    </row>
    <row r="9" spans="1:4" ht="43.5" x14ac:dyDescent="0.35">
      <c r="A9" s="2" t="s">
        <v>144</v>
      </c>
      <c r="B9" s="8" t="s">
        <v>105</v>
      </c>
      <c r="C9" s="2" t="s">
        <v>147</v>
      </c>
      <c r="D9" s="10" t="s">
        <v>150</v>
      </c>
    </row>
    <row r="10" spans="1:4" ht="43.5" x14ac:dyDescent="0.35">
      <c r="A10" s="2" t="s">
        <v>145</v>
      </c>
      <c r="B10" s="8" t="s">
        <v>105</v>
      </c>
      <c r="C10" s="2" t="s">
        <v>148</v>
      </c>
      <c r="D10" s="10" t="s">
        <v>151</v>
      </c>
    </row>
    <row r="11" spans="1:4" ht="43.5" x14ac:dyDescent="0.35">
      <c r="A11" s="2" t="s">
        <v>146</v>
      </c>
      <c r="B11" s="8" t="s">
        <v>105</v>
      </c>
      <c r="C11" s="2" t="s">
        <v>149</v>
      </c>
      <c r="D11" s="10" t="s">
        <v>152</v>
      </c>
    </row>
    <row r="12" spans="1:4" ht="43.5" x14ac:dyDescent="0.35">
      <c r="A12" s="2" t="s">
        <v>153</v>
      </c>
      <c r="B12" s="8" t="s">
        <v>105</v>
      </c>
      <c r="C12" s="2" t="s">
        <v>158</v>
      </c>
      <c r="D12" s="8" t="s">
        <v>159</v>
      </c>
    </row>
    <row r="13" spans="1:4" ht="43.5" x14ac:dyDescent="0.35">
      <c r="A13" s="2" t="s">
        <v>154</v>
      </c>
      <c r="B13" s="8" t="s">
        <v>105</v>
      </c>
      <c r="C13" s="2" t="s">
        <v>160</v>
      </c>
      <c r="D13" s="8" t="s">
        <v>161</v>
      </c>
    </row>
    <row r="14" spans="1:4" ht="43.5" x14ac:dyDescent="0.35">
      <c r="A14" s="2" t="s">
        <v>155</v>
      </c>
      <c r="B14" s="8" t="s">
        <v>105</v>
      </c>
      <c r="C14" s="2" t="s">
        <v>162</v>
      </c>
      <c r="D14" s="8" t="s">
        <v>163</v>
      </c>
    </row>
    <row r="15" spans="1:4" ht="43.5" x14ac:dyDescent="0.35">
      <c r="A15" s="2" t="s">
        <v>156</v>
      </c>
      <c r="B15" s="8" t="s">
        <v>105</v>
      </c>
      <c r="C15" s="2" t="s">
        <v>164</v>
      </c>
      <c r="D15" s="8" t="s">
        <v>165</v>
      </c>
    </row>
    <row r="16" spans="1:4" ht="43.5" x14ac:dyDescent="0.35">
      <c r="A16" s="2" t="s">
        <v>157</v>
      </c>
      <c r="B16" s="8" t="s">
        <v>105</v>
      </c>
      <c r="C16" s="2" t="s">
        <v>166</v>
      </c>
      <c r="D16" s="8" t="s">
        <v>167</v>
      </c>
    </row>
    <row r="17" spans="1:4" ht="29" x14ac:dyDescent="0.35">
      <c r="A17" s="2" t="s">
        <v>176</v>
      </c>
      <c r="B17" s="8" t="s">
        <v>105</v>
      </c>
      <c r="C17" s="2" t="s">
        <v>168</v>
      </c>
      <c r="D17" s="2" t="s">
        <v>169</v>
      </c>
    </row>
    <row r="18" spans="1:4" ht="43.5" x14ac:dyDescent="0.35">
      <c r="A18" s="2" t="s">
        <v>177</v>
      </c>
      <c r="B18" s="8" t="s">
        <v>105</v>
      </c>
      <c r="C18" s="2" t="s">
        <v>170</v>
      </c>
      <c r="D18" s="2" t="s">
        <v>171</v>
      </c>
    </row>
    <row r="19" spans="1:4" ht="43.5" x14ac:dyDescent="0.35">
      <c r="A19" s="2" t="s">
        <v>178</v>
      </c>
      <c r="B19" s="8" t="s">
        <v>105</v>
      </c>
      <c r="C19" s="2" t="s">
        <v>172</v>
      </c>
      <c r="D19" s="2" t="s">
        <v>173</v>
      </c>
    </row>
    <row r="20" spans="1:4" ht="29" x14ac:dyDescent="0.35">
      <c r="A20" s="2" t="s">
        <v>179</v>
      </c>
      <c r="B20" s="8" t="s">
        <v>105</v>
      </c>
      <c r="C20" s="2" t="s">
        <v>174</v>
      </c>
      <c r="D20" s="2" t="s">
        <v>175</v>
      </c>
    </row>
    <row r="21" spans="1:4" x14ac:dyDescent="0.35">
      <c r="A21" s="11"/>
      <c r="B21" s="2"/>
      <c r="C21" s="8"/>
      <c r="D21" s="2"/>
    </row>
    <row r="23" spans="1:4" x14ac:dyDescent="0.35">
      <c r="A23" s="11"/>
      <c r="B23" s="2"/>
      <c r="C23" s="2"/>
      <c r="D23" s="2"/>
    </row>
    <row r="24" spans="1:4" x14ac:dyDescent="0.35">
      <c r="A24" s="11"/>
      <c r="B24" s="2"/>
      <c r="C24" s="2"/>
      <c r="D24" s="2"/>
    </row>
    <row r="25" spans="1:4" x14ac:dyDescent="0.35">
      <c r="A25" s="11"/>
      <c r="B25" s="2"/>
      <c r="C25" s="2"/>
      <c r="D25" s="2"/>
    </row>
    <row r="26" spans="1:4" x14ac:dyDescent="0.35">
      <c r="A26" s="11"/>
      <c r="B26" s="2"/>
      <c r="C26" s="2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D80B85-7087-4661-A26C-8095BA5A4A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UR</vt:lpstr>
      <vt:lpstr>SR</vt:lpstr>
      <vt:lpstr>TR</vt:lpstr>
      <vt:lpstr>MT</vt:lpstr>
      <vt:lpstr>RISK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Practico IDI 2</dc:creator>
  <cp:lastModifiedBy>Practico IDI 2</cp:lastModifiedBy>
  <dcterms:created xsi:type="dcterms:W3CDTF">2026-01-07T13:35:58Z</dcterms:created>
  <dcterms:modified xsi:type="dcterms:W3CDTF">2026-02-06T20:10:15Z</dcterms:modified>
</cp:coreProperties>
</file>